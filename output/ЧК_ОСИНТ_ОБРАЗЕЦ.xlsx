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Легенда" sheetId="1" state="visible" r:id="rId3"/>
    <sheet name="01_Клиники" sheetId="2" state="visible" r:id="rId4"/>
    <sheet name="02_Услуги" sheetId="3" state="visible" r:id="rId5"/>
    <sheet name="03_Доказательства" sheetId="4" state="visible" r:id="rId6"/>
    <sheet name="04_Кандидаты" sheetId="5" state="visible" r:id="rId7"/>
    <sheet name="05_Справочник_услуг" sheetId="6" state="visible" r:id="rId8"/>
    <sheet name="06_Источники" sheetId="7" state="visible" r:id="rId9"/>
    <sheet name="07_Качество" sheetId="8" state="visible" r:id="rId10"/>
  </sheets>
  <definedNames>
    <definedName function="false" hidden="true" localSheetId="1" name="_xlnm._FilterDatabase" vbProcedure="false">01_Клиники!$A$3:$AG$300</definedName>
    <definedName function="false" hidden="true" localSheetId="2" name="_xlnm._FilterDatabase" vbProcedure="false">02_Услуги!$A$3:$L$1000</definedName>
    <definedName function="false" hidden="true" localSheetId="3" name="_xlnm._FilterDatabase" vbProcedure="false">03_Доказательства!$A$3:$J$2000</definedName>
    <definedName function="false" hidden="true" localSheetId="4" name="_xlnm._FilterDatabase" vbProcedure="false">04_Кандидаты!$A$3:$I$2000</definedName>
    <definedName function="false" hidden="true" localSheetId="5" name="_xlnm._FilterDatabase" vbProcedure="false">05_Справочник_услуг!$A$3:$G$500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<sst xmlns="http://schemas.openxmlformats.org/spreadsheetml/2006/main" count="974" uniqueCount="434">
  <si>
    <t xml:space="preserve">OSINT-РАЗВЕДКА КОНКУРЕНТОВ — структура таблицы</t>
  </si>
  <si>
    <t xml:space="preserve">Проект «Чистая Кожа» · Флоу 1: исследование рынка · Одна работа бота = один город · Файл называется: ЧК_ОСИНТ_{Город}_{Дата}.xlsx</t>
  </si>
  <si>
    <t xml:space="preserve">Жёлтые строки — примеры заполнения с реальными данными по «Чистой Коже». Это НЕ конкуренты — только формат.</t>
  </si>
  <si>
    <t xml:space="preserve">ЛИСТЫ ТАБЛИЦЫ</t>
  </si>
  <si>
    <t xml:space="preserve">Лист</t>
  </si>
  <si>
    <t xml:space="preserve">Одна строка = </t>
  </si>
  <si>
    <t xml:space="preserve">Назначение</t>
  </si>
  <si>
    <t xml:space="preserve">Кто заполняет</t>
  </si>
  <si>
    <t xml:space="preserve">01_Клиники</t>
  </si>
  <si>
    <t xml:space="preserve">одна клиника (точка/адрес)</t>
  </si>
  <si>
    <t xml:space="preserve">Главный аналитический лист. Короткие значения из словаря — можно фильтровать и сводить. Отвечает: сколько конкурентов какого типа в городе</t>
  </si>
  <si>
    <t xml:space="preserve">Агент после проверки сайта</t>
  </si>
  <si>
    <t xml:space="preserve">02_Услуги</t>
  </si>
  <si>
    <t xml:space="preserve">одна услуга одной клиники</t>
  </si>
  <si>
    <t xml:space="preserve">Детализация услуг. Вынесена отдельно, чтобы не засорять лист 01. Отвечает: кто делает удаление родинок с гистологией</t>
  </si>
  <si>
    <t xml:space="preserve">Агент, парсинг раздела «Услуги»</t>
  </si>
  <si>
    <t xml:space="preserve">03_Доказательства</t>
  </si>
  <si>
    <t xml:space="preserve">один факт</t>
  </si>
  <si>
    <t xml:space="preserve">URL + дата + цитата под каждое утверждение. Доказательства есть, но анализу не мешают — ссылаются по ИД</t>
  </si>
  <si>
    <t xml:space="preserve">Агент, автоматически</t>
  </si>
  <si>
    <t xml:space="preserve">04_Кандидаты</t>
  </si>
  <si>
    <t xml:space="preserve">один найденный кандидат</t>
  </si>
  <si>
    <t xml:space="preserve">Все найденные до фильтрации — с решением включить / исключить и причиной. Показывает полноту разведки</t>
  </si>
  <si>
    <t xml:space="preserve">Агент, этап поиска</t>
  </si>
  <si>
    <t xml:space="preserve">05_Справочник_услуг</t>
  </si>
  <si>
    <t xml:space="preserve">одно название услуги</t>
  </si>
  <si>
    <t xml:space="preserve">Классификатор: любое название с сайта → единый тег. Решает требование «без разных терминов для одного»</t>
  </si>
  <si>
    <t xml:space="preserve">Единожды, медицинская команда</t>
  </si>
  <si>
    <t xml:space="preserve">06_Источники</t>
  </si>
  <si>
    <t xml:space="preserve">один источник</t>
  </si>
  <si>
    <t xml:space="preserve">Реестр источников с оценкой надёжности</t>
  </si>
  <si>
    <t xml:space="preserve">Агент</t>
  </si>
  <si>
    <t xml:space="preserve">07_Качество</t>
  </si>
  <si>
    <t xml:space="preserve">одна метрика</t>
  </si>
  <si>
    <t xml:space="preserve">Покрытие, пробелы, что не проверено — считается формулами автоматически</t>
  </si>
  <si>
    <t xml:space="preserve">Формулы</t>
  </si>
  <si>
    <t xml:space="preserve">ДОПУСТИМЫЕ ЗНАЧЕНИЯ В АНАЛИТИЧЕСКИХ КОЛОНКАХ</t>
  </si>
  <si>
    <t xml:space="preserve">Колонка</t>
  </si>
  <si>
    <t xml:space="preserve">Допустимые значения</t>
  </si>
  <si>
    <t xml:space="preserve">Что означает</t>
  </si>
  <si>
    <t xml:space="preserve">Тип клиники</t>
  </si>
  <si>
    <t xml:space="preserve">Тип 1 / Тип 2 / Тип 3 / Не классифицировано</t>
  </si>
  <si>
    <t xml:space="preserve">Тип 1 — узкоспециализированная (только дерматологический контур). Тип 2 — дерматология + косметология. Тип 3 — многопрофильная с несмежными направлениями (гинекология, терапия и т.п.)</t>
  </si>
  <si>
    <t xml:space="preserve">Категория конкурента</t>
  </si>
  <si>
    <t xml:space="preserve">Идентичный / Комплиментарный / Сетевой / Нерелевантный</t>
  </si>
  <si>
    <t xml:space="preserve">По вашей типологии. Можно фильтровать независимо от типа</t>
  </si>
  <si>
    <t xml:space="preserve">Все колонки услуг</t>
  </si>
  <si>
    <t xml:space="preserve">Да / Нет / Не найдено / Уточнить</t>
  </si>
  <si>
    <t xml:space="preserve">«Нет» = явно отсутствует. «Не найдено» = раздела нет на сайте. «Уточнить» = противоречивые данные. Никаких развёрнутых фраз в ячейке</t>
  </si>
  <si>
    <t xml:space="preserve">Грейд проверки</t>
  </si>
  <si>
    <t xml:space="preserve">A / B / C</t>
  </si>
  <si>
    <t xml:space="preserve">A — раздел услуг официального сайта. B — сайт, но только профиль врача или новость. C — только агрегатор (лид, не подтверждение)</t>
  </si>
  <si>
    <t xml:space="preserve">Сетевая</t>
  </si>
  <si>
    <t xml:space="preserve">Да / Нет</t>
  </si>
  <si>
    <t xml:space="preserve">Отдельная колонка, не значение типа. Клиника Типа 1 тоже может быть сетью</t>
  </si>
  <si>
    <t xml:space="preserve">ГЛАВНЫЙ ЛИСТ — одна строка = одна клиника (конкретная точка/адрес). Только короткие значения из словаря. Жёлтые строки — пример формата на данных «Чистой Кожи».</t>
  </si>
  <si>
    <t xml:space="preserve">ГОРОД: ________________   Дата разведки: ________________   Версия: 1.0</t>
  </si>
  <si>
    <t xml:space="preserve">ИД клиники</t>
  </si>
  <si>
    <t xml:space="preserve">Город</t>
  </si>
  <si>
    <t xml:space="preserve">Бренд</t>
  </si>
  <si>
    <t xml:space="preserve">Название точки</t>
  </si>
  <si>
    <t xml:space="preserve">Адрес</t>
  </si>
  <si>
    <t xml:space="preserve">Юридическое лицо</t>
  </si>
  <si>
    <t xml:space="preserve">ИНН</t>
  </si>
  <si>
    <t xml:space="preserve">ОГРН</t>
  </si>
  <si>
    <t xml:space="preserve">Точек в городе</t>
  </si>
  <si>
    <t xml:space="preserve">Точек всего</t>
  </si>
  <si>
    <t xml:space="preserve">География сети</t>
  </si>
  <si>
    <t xml:space="preserve">Сайт</t>
  </si>
  <si>
    <t xml:space="preserve">Дерматология</t>
  </si>
  <si>
    <t xml:space="preserve">Детская дерматология</t>
  </si>
  <si>
    <t xml:space="preserve">Онкодерматология</t>
  </si>
  <si>
    <t xml:space="preserve">Трихология</t>
  </si>
  <si>
    <t xml:space="preserve">Удаление новообразований</t>
  </si>
  <si>
    <t xml:space="preserve">Гистология</t>
  </si>
  <si>
    <t xml:space="preserve">Дерматоскопия</t>
  </si>
  <si>
    <t xml:space="preserve">Лазерная косметология</t>
  </si>
  <si>
    <t xml:space="preserve">Инъекционная косметология</t>
  </si>
  <si>
    <t xml:space="preserve">Аппаратная косметология</t>
  </si>
  <si>
    <t xml:space="preserve">Несмежные направления</t>
  </si>
  <si>
    <t xml:space="preserve">Цена приёма от, руб</t>
  </si>
  <si>
    <t xml:space="preserve">Цена приёма до, руб</t>
  </si>
  <si>
    <t xml:space="preserve">Рейтинг 2ГИС</t>
  </si>
  <si>
    <t xml:space="preserve">Отзывов 2ГИС</t>
  </si>
  <si>
    <t xml:space="preserve">Дата проверки</t>
  </si>
  <si>
    <t xml:space="preserve">ИД доказательств</t>
  </si>
  <si>
    <t xml:space="preserve">КЛН-0001</t>
  </si>
  <si>
    <t xml:space="preserve">Нижний Новгород</t>
  </si>
  <si>
    <t xml:space="preserve">Чистая Кожа</t>
  </si>
  <si>
    <t xml:space="preserve">Чистая Кожа на Ошарской</t>
  </si>
  <si>
    <t xml:space="preserve">ул. Ошарская, 21</t>
  </si>
  <si>
    <t xml:space="preserve">ООО «МЦ Чистая Кожа»</t>
  </si>
  <si>
    <t xml:space="preserve">5249178231</t>
  </si>
  <si>
    <t xml:space="preserve">Уточнить</t>
  </si>
  <si>
    <t xml:space="preserve">Тип 1</t>
  </si>
  <si>
    <t xml:space="preserve">Идентичный</t>
  </si>
  <si>
    <t xml:space="preserve">Да</t>
  </si>
  <si>
    <t xml:space="preserve">Нижегородская обл.</t>
  </si>
  <si>
    <t xml:space="preserve">chistayakozha.com</t>
  </si>
  <si>
    <t xml:space="preserve">Нет</t>
  </si>
  <si>
    <t xml:space="preserve">Не обнаружено</t>
  </si>
  <si>
    <t xml:space="preserve">2026-08-07</t>
  </si>
  <si>
    <t xml:space="preserve">A</t>
  </si>
  <si>
    <t xml:space="preserve">ДОК-0001;ДОК-0002;ДОК-0003</t>
  </si>
  <si>
    <t xml:space="preserve">КЛН-0002</t>
  </si>
  <si>
    <t xml:space="preserve">Чистая Кожа на Гайдара</t>
  </si>
  <si>
    <t xml:space="preserve">ул. Гайдара, 30 (Дзержинск)</t>
  </si>
  <si>
    <t xml:space="preserve">ДОК-0004</t>
  </si>
  <si>
    <t xml:space="preserve">КЛН-0003</t>
  </si>
  <si>
    <t xml:space="preserve">&lt;город&gt;</t>
  </si>
  <si>
    <t xml:space="preserve">&lt;бренд&gt;</t>
  </si>
  <si>
    <t xml:space="preserve">&lt;название точки&gt;</t>
  </si>
  <si>
    <t xml:space="preserve">&lt;улица, дом&gt;</t>
  </si>
  <si>
    <t xml:space="preserve">Тип 2</t>
  </si>
  <si>
    <t xml:space="preserve">Комплиментарный</t>
  </si>
  <si>
    <t xml:space="preserve">1 город</t>
  </si>
  <si>
    <t xml:space="preserve">&lt;домен&gt;</t>
  </si>
  <si>
    <t xml:space="preserve">Не найдено</t>
  </si>
  <si>
    <t xml:space="preserve">2026-__-__</t>
  </si>
  <si>
    <t xml:space="preserve">B</t>
  </si>
  <si>
    <t xml:space="preserve">ДОК-00__</t>
  </si>
  <si>
    <t xml:space="preserve">Детализация услуг — одна строка = одна услуга одной клиники. Вынесена сюда, чтобы лист 01 оставался коротким и анализируемым.</t>
  </si>
  <si>
    <t xml:space="preserve">Клиника</t>
  </si>
  <si>
    <t xml:space="preserve">Название услуги на сайте</t>
  </si>
  <si>
    <t xml:space="preserve">Нормализованный тег</t>
  </si>
  <si>
    <t xml:space="preserve">Направление</t>
  </si>
  <si>
    <t xml:space="preserve">Цена от, руб</t>
  </si>
  <si>
    <t xml:space="preserve">Цена до, руб</t>
  </si>
  <si>
    <t xml:space="preserve">Метод</t>
  </si>
  <si>
    <t xml:space="preserve">Есть гистология</t>
  </si>
  <si>
    <t xml:space="preserve">URL страницы</t>
  </si>
  <si>
    <t xml:space="preserve">Грейд</t>
  </si>
  <si>
    <t xml:space="preserve">Консультация врача-дерматолога</t>
  </si>
  <si>
    <t xml:space="preserve">Приём дерматолога</t>
  </si>
  <si>
    <t xml:space="preserve">Консультации</t>
  </si>
  <si>
    <t xml:space="preserve">—</t>
  </si>
  <si>
    <t xml:space="preserve">chistayakozha.com/services/konsultatsia_specialistov/</t>
  </si>
  <si>
    <t xml:space="preserve">Консультация детского дерматолога</t>
  </si>
  <si>
    <t xml:space="preserve">Приём детского дерматолога</t>
  </si>
  <si>
    <t xml:space="preserve">Консультация онкодерматолога</t>
  </si>
  <si>
    <t xml:space="preserve">Приём онкодерматолога</t>
  </si>
  <si>
    <t xml:space="preserve">Цифровая дерматоскопия с картированием</t>
  </si>
  <si>
    <t xml:space="preserve">Цифровая дерматоскопия</t>
  </si>
  <si>
    <t xml:space="preserve">Диагностика</t>
  </si>
  <si>
    <t xml:space="preserve">Аппаратный</t>
  </si>
  <si>
    <t xml:space="preserve">chistayakozha.com/services/diagnostika/</t>
  </si>
  <si>
    <t xml:space="preserve">Гистологическое исследование</t>
  </si>
  <si>
    <t xml:space="preserve">Лабораторный</t>
  </si>
  <si>
    <t xml:space="preserve">Удаление родинок лазером</t>
  </si>
  <si>
    <t xml:space="preserve">Удаление невусов</t>
  </si>
  <si>
    <t xml:space="preserve">Лазер</t>
  </si>
  <si>
    <t xml:space="preserve">chistayakozha.com/services/udalenie-novoobrazovanii/</t>
  </si>
  <si>
    <t xml:space="preserve">Удаление папиллом</t>
  </si>
  <si>
    <t xml:space="preserve">Лазер / Криодеструкция</t>
  </si>
  <si>
    <t xml:space="preserve">PRP-терапия волосистой части</t>
  </si>
  <si>
    <t xml:space="preserve">PRP-терапия</t>
  </si>
  <si>
    <t xml:space="preserve">Инъекционный</t>
  </si>
  <si>
    <t xml:space="preserve">chistayakozha.com/services/trihologiya/</t>
  </si>
  <si>
    <t xml:space="preserve">Лечение псориаза</t>
  </si>
  <si>
    <t xml:space="preserve">chistayakozha.com/services/lechenie/</t>
  </si>
  <si>
    <t xml:space="preserve">Одна строка = один факт. Каждое значение в листе 01 должно иметь здесь подтверждение. Ссылки по ИД — лист 01 не засоряется.</t>
  </si>
  <si>
    <t xml:space="preserve">ИД доказательства</t>
  </si>
  <si>
    <t xml:space="preserve">Поле</t>
  </si>
  <si>
    <t xml:space="preserve">Записанное значение</t>
  </si>
  <si>
    <t xml:space="preserve">Тип источника</t>
  </si>
  <si>
    <t xml:space="preserve">URL</t>
  </si>
  <si>
    <t xml:space="preserve">Дата доступа</t>
  </si>
  <si>
    <t xml:space="preserve">Цитата-основание</t>
  </si>
  <si>
    <t xml:space="preserve">Примечание</t>
  </si>
  <si>
    <t xml:space="preserve">ДОК-0001</t>
  </si>
  <si>
    <t xml:space="preserve">Официальный сайт</t>
  </si>
  <si>
    <t xml:space="preserve">https://chistayakozha.com/directions/onkodermatologiya/</t>
  </si>
  <si>
    <t xml:space="preserve">Раздел «Онкодерматология»: удаление лазером и жидким азотом, диагностика рака кожи, собственный оперблок</t>
  </si>
  <si>
    <t xml:space="preserve">ДОК-0002</t>
  </si>
  <si>
    <t xml:space="preserve">https://chistayakozha.com/services/</t>
  </si>
  <si>
    <t xml:space="preserve">Каталог содержит 5 направлений. Ботокс, филлеры, контурная пластика в каталоге отсутствуют</t>
  </si>
  <si>
    <t xml:space="preserve">Ключевой факт позиционирования</t>
  </si>
  <si>
    <t xml:space="preserve">ДОК-0003</t>
  </si>
  <si>
    <t xml:space="preserve">4</t>
  </si>
  <si>
    <t xml:space="preserve">https://chistayakozha.com/</t>
  </si>
  <si>
    <t xml:space="preserve">«4 центра в Нижегородской области»</t>
  </si>
  <si>
    <t xml:space="preserve">Самозаявление, не аудировано</t>
  </si>
  <si>
    <t xml:space="preserve">https://chistayakozha.com/contacts/</t>
  </si>
  <si>
    <t xml:space="preserve">г. Дзержинск, ул. Гайдара 30, будни 8:00–20:00</t>
  </si>
  <si>
    <t xml:space="preserve">Все кандидаты до фильтрации — с обоснованием включения или исключения. Показывает полноту разведки. Слово «все» правомерно только при сплошном переборе реестра лицензий Росздравнадзора.</t>
  </si>
  <si>
    <t xml:space="preserve">ИД кандидата</t>
  </si>
  <si>
    <t xml:space="preserve">Найденное название</t>
  </si>
  <si>
    <t xml:space="preserve">Канал обнаружения</t>
  </si>
  <si>
    <t xml:space="preserve">Поисковый запрос</t>
  </si>
  <si>
    <t xml:space="preserve">URL обнаружения</t>
  </si>
  <si>
    <t xml:space="preserve">Решение</t>
  </si>
  <si>
    <t xml:space="preserve">Причина решения</t>
  </si>
  <si>
    <t xml:space="preserve">ИД клиники (если включён)</t>
  </si>
  <si>
    <t xml:space="preserve">КАН-0001</t>
  </si>
  <si>
    <t xml:space="preserve">дерматолог Нижний Новгород клиника</t>
  </si>
  <si>
    <t xml:space="preserve">&lt;URL выдачи&gt;</t>
  </si>
  <si>
    <t xml:space="preserve">Включён</t>
  </si>
  <si>
    <t xml:space="preserve">Профиль подтверждён на официальном сайте</t>
  </si>
  <si>
    <t xml:space="preserve">КАН-0002</t>
  </si>
  <si>
    <t xml:space="preserve">&lt;название из 2ГИС&gt;</t>
  </si>
  <si>
    <t xml:space="preserve">2ГИС</t>
  </si>
  <si>
    <t xml:space="preserve">удаление новообразований &lt;город&gt;</t>
  </si>
  <si>
    <t xml:space="preserve">&lt;URL карточки&gt;</t>
  </si>
  <si>
    <t xml:space="preserve">Исключён</t>
  </si>
  <si>
    <t xml:space="preserve">Салон красоты без подтверждённой медицинской деятельности</t>
  </si>
  <si>
    <t xml:space="preserve">КАН-0003</t>
  </si>
  <si>
    <t xml:space="preserve">&lt;название&gt;</t>
  </si>
  <si>
    <t xml:space="preserve">ПроДокторов</t>
  </si>
  <si>
    <t xml:space="preserve">дерматовенеролог &lt;город&gt;</t>
  </si>
  <si>
    <t xml:space="preserve">&lt;URL&gt;</t>
  </si>
  <si>
    <t xml:space="preserve">Требует проверки</t>
  </si>
  <si>
    <t xml:space="preserve">Сайт недоступен на дату проверки</t>
  </si>
  <si>
    <t xml:space="preserve">Каналы обнаружения (применяются параллельно): Яндекс поиск · 2ГИС · Яндекс Карты · ПроДокторов · НаПоправку · Zoon · Реестр лицензий Росздравнадзора · Отраслевые статьи</t>
  </si>
  <si>
    <t xml:space="preserve">Классификатор: любое название с сайта → единый тег. Агент ищет в запросах слоя L2 строго по этому списку. Редактируется только здесь — изменения автоматически распространяются на поиск.</t>
  </si>
  <si>
    <t xml:space="preserve">Название на сайте (как есть)</t>
  </si>
  <si>
    <t xml:space="preserve">Дерматологический контур</t>
  </si>
  <si>
    <t xml:space="preserve">МКБ-10</t>
  </si>
  <si>
    <t xml:space="preserve">Оказывает ли клиент</t>
  </si>
  <si>
    <t xml:space="preserve">Консультация дерматолога</t>
  </si>
  <si>
    <t xml:space="preserve">Консультация дерматовенеролога</t>
  </si>
  <si>
    <t xml:space="preserve">Синоним</t>
  </si>
  <si>
    <t xml:space="preserve">Консультация трихолога</t>
  </si>
  <si>
    <t xml:space="preserve">Приём трихолога</t>
  </si>
  <si>
    <t xml:space="preserve">Консультация дерматохирурга</t>
  </si>
  <si>
    <t xml:space="preserve">Приём дерматохирурга</t>
  </si>
  <si>
    <t xml:space="preserve">Синоним, продукт «Онкодозор»</t>
  </si>
  <si>
    <t xml:space="preserve">Картирование невусов</t>
  </si>
  <si>
    <t xml:space="preserve">Маркер медицинского контура</t>
  </si>
  <si>
    <t xml:space="preserve">Биопсия кожи</t>
  </si>
  <si>
    <t xml:space="preserve">Трихоскопия</t>
  </si>
  <si>
    <t xml:space="preserve">Фототрихограмма</t>
  </si>
  <si>
    <t xml:space="preserve">Анализ волос на микроэлементы</t>
  </si>
  <si>
    <t xml:space="preserve">Анализ волос</t>
  </si>
  <si>
    <t xml:space="preserve">Удаление родинок</t>
  </si>
  <si>
    <t xml:space="preserve">D22</t>
  </si>
  <si>
    <t xml:space="preserve">Лазерное удаление родинок</t>
  </si>
  <si>
    <t xml:space="preserve">Синоним, уточняет метод</t>
  </si>
  <si>
    <t xml:space="preserve">B07</t>
  </si>
  <si>
    <t xml:space="preserve">Удаление бородавок</t>
  </si>
  <si>
    <t xml:space="preserve">Удаление кератом</t>
  </si>
  <si>
    <t xml:space="preserve">L82</t>
  </si>
  <si>
    <t xml:space="preserve">Удаление кондилом</t>
  </si>
  <si>
    <t xml:space="preserve">A63</t>
  </si>
  <si>
    <t xml:space="preserve">Удаление гемангиом</t>
  </si>
  <si>
    <t xml:space="preserve">D18</t>
  </si>
  <si>
    <t xml:space="preserve">Удаление атером</t>
  </si>
  <si>
    <t xml:space="preserve">L72</t>
  </si>
  <si>
    <t xml:space="preserve">Удаление фибром</t>
  </si>
  <si>
    <t xml:space="preserve">D21</t>
  </si>
  <si>
    <t xml:space="preserve">Удаление липом</t>
  </si>
  <si>
    <t xml:space="preserve">D17</t>
  </si>
  <si>
    <t xml:space="preserve">Удаление контагиозного моллюска</t>
  </si>
  <si>
    <t xml:space="preserve">B08.1</t>
  </si>
  <si>
    <t xml:space="preserve">Удаление базалиомы</t>
  </si>
  <si>
    <t xml:space="preserve">C44</t>
  </si>
  <si>
    <t xml:space="preserve">Криодеструкция</t>
  </si>
  <si>
    <t xml:space="preserve">Метод удаления</t>
  </si>
  <si>
    <t xml:space="preserve">Радиоволновое удаление</t>
  </si>
  <si>
    <t xml:space="preserve">Онкодерматологический скрининг</t>
  </si>
  <si>
    <t xml:space="preserve">Продукт «Онкодозор»</t>
  </si>
  <si>
    <t xml:space="preserve">Контроль меланомы</t>
  </si>
  <si>
    <t xml:space="preserve">C43</t>
  </si>
  <si>
    <t xml:space="preserve">Лечение акне</t>
  </si>
  <si>
    <t xml:space="preserve">L70</t>
  </si>
  <si>
    <t xml:space="preserve">Лечение постакне</t>
  </si>
  <si>
    <t xml:space="preserve">Лечение угревой болезни</t>
  </si>
  <si>
    <t xml:space="preserve">L40</t>
  </si>
  <si>
    <t xml:space="preserve">Лечение экземы</t>
  </si>
  <si>
    <t xml:space="preserve">Лечение экземы и дерматитов</t>
  </si>
  <si>
    <t xml:space="preserve">L20-L30</t>
  </si>
  <si>
    <t xml:space="preserve">Лечение атопического дерматита</t>
  </si>
  <si>
    <t xml:space="preserve">L20</t>
  </si>
  <si>
    <t xml:space="preserve">Лечение себорейного дерматита</t>
  </si>
  <si>
    <t xml:space="preserve">L21</t>
  </si>
  <si>
    <t xml:space="preserve">Лечение крапивницы</t>
  </si>
  <si>
    <t xml:space="preserve">L50</t>
  </si>
  <si>
    <t xml:space="preserve">Лечение розацеа</t>
  </si>
  <si>
    <t xml:space="preserve">L71</t>
  </si>
  <si>
    <t xml:space="preserve">Лечение купероза</t>
  </si>
  <si>
    <t xml:space="preserve">Лечение витилиго</t>
  </si>
  <si>
    <t xml:space="preserve">L80</t>
  </si>
  <si>
    <t xml:space="preserve">Лечение грибковых инфекций</t>
  </si>
  <si>
    <t xml:space="preserve">Лечение дерматомикозов</t>
  </si>
  <si>
    <t xml:space="preserve">B35-B36</t>
  </si>
  <si>
    <t xml:space="preserve">Лечение ногтей (онихомикоз)</t>
  </si>
  <si>
    <t xml:space="preserve">B35.1</t>
  </si>
  <si>
    <t xml:space="preserve">Лечение герпеса</t>
  </si>
  <si>
    <t xml:space="preserve">B00</t>
  </si>
  <si>
    <t xml:space="preserve">Лечение опоясывающего лишая</t>
  </si>
  <si>
    <t xml:space="preserve">B02</t>
  </si>
  <si>
    <t xml:space="preserve">Лечение ИППП</t>
  </si>
  <si>
    <t xml:space="preserve">Дерматовенерология</t>
  </si>
  <si>
    <t xml:space="preserve">A50-A64</t>
  </si>
  <si>
    <t xml:space="preserve">Венерология</t>
  </si>
  <si>
    <t xml:space="preserve">Лечение сосудистых патологий кожи</t>
  </si>
  <si>
    <t xml:space="preserve">Лечение сосудистых патологий</t>
  </si>
  <si>
    <t xml:space="preserve">Лечение гипергидроза</t>
  </si>
  <si>
    <t xml:space="preserve">R61</t>
  </si>
  <si>
    <t xml:space="preserve">Лечение выпадения волос</t>
  </si>
  <si>
    <t xml:space="preserve">Лечение алопеции</t>
  </si>
  <si>
    <t xml:space="preserve">L63-L65</t>
  </si>
  <si>
    <t xml:space="preserve">L63</t>
  </si>
  <si>
    <t xml:space="preserve">Лечение себореи волосистой части</t>
  </si>
  <si>
    <t xml:space="preserve">Лечение себореи</t>
  </si>
  <si>
    <t xml:space="preserve">Мезотерапия волосистой части головы</t>
  </si>
  <si>
    <t xml:space="preserve">Мезотерапия волос</t>
  </si>
  <si>
    <t xml:space="preserve">PRP-терапия волос</t>
  </si>
  <si>
    <t xml:space="preserve">Плазмотерапия волос</t>
  </si>
  <si>
    <t xml:space="preserve">Ботулинотерапия</t>
  </si>
  <si>
    <t xml:space="preserve">Эстетическая косметология</t>
  </si>
  <si>
    <t xml:space="preserve">Маркер Тип 2</t>
  </si>
  <si>
    <t xml:space="preserve">Ботокс</t>
  </si>
  <si>
    <t xml:space="preserve">Контурная пластика</t>
  </si>
  <si>
    <t xml:space="preserve">Филлеры</t>
  </si>
  <si>
    <t xml:space="preserve">Биоревитализация</t>
  </si>
  <si>
    <t xml:space="preserve">Лазерная эпиляция</t>
  </si>
  <si>
    <t xml:space="preserve">Фотоэпиляция</t>
  </si>
  <si>
    <t xml:space="preserve">Лазерное омоложение</t>
  </si>
  <si>
    <t xml:space="preserve">Аппаратное омоложение</t>
  </si>
  <si>
    <t xml:space="preserve">Фракционный лазер</t>
  </si>
  <si>
    <t xml:space="preserve">Пилинги</t>
  </si>
  <si>
    <t xml:space="preserve">Чистки лица</t>
  </si>
  <si>
    <t xml:space="preserve">Приём гинеколога</t>
  </si>
  <si>
    <t xml:space="preserve">Несмежное направление</t>
  </si>
  <si>
    <t xml:space="preserve">Маркер Тип 3</t>
  </si>
  <si>
    <t xml:space="preserve">Приём терапевта</t>
  </si>
  <si>
    <t xml:space="preserve">Приём педиатра</t>
  </si>
  <si>
    <t xml:space="preserve">УЗИ органов</t>
  </si>
  <si>
    <t xml:space="preserve">Маркер Тип 3 при широком профиле</t>
  </si>
  <si>
    <t xml:space="preserve">МРТ / КТ</t>
  </si>
  <si>
    <t xml:space="preserve">МРТ/КТ</t>
  </si>
  <si>
    <t xml:space="preserve">Стоматология</t>
  </si>
  <si>
    <t xml:space="preserve">Реестр всех используемых источников — с оценкой надёжности и ограничениями.</t>
  </si>
  <si>
    <t xml:space="preserve">ИД источника</t>
  </si>
  <si>
    <t xml:space="preserve">Название</t>
  </si>
  <si>
    <t xml:space="preserve">Тип</t>
  </si>
  <si>
    <t xml:space="preserve">Что даёт</t>
  </si>
  <si>
    <t xml:space="preserve">Гранулярность</t>
  </si>
  <si>
    <t xml:space="preserve">Надёжность</t>
  </si>
  <si>
    <t xml:space="preserve">Платный</t>
  </si>
  <si>
    <t xml:space="preserve">Ограничения</t>
  </si>
  <si>
    <t xml:space="preserve">ИСТ-001</t>
  </si>
  <si>
    <t xml:space="preserve">Официальный сайт клиники</t>
  </si>
  <si>
    <t xml:space="preserve">Первоисточник</t>
  </si>
  <si>
    <t xml:space="preserve">Услуги, цены, врачи, адреса</t>
  </si>
  <si>
    <t xml:space="preserve">Высокая</t>
  </si>
  <si>
    <t xml:space="preserve">Может не отражать реально оказываемые услуги</t>
  </si>
  <si>
    <t xml:space="preserve">ИСТ-002</t>
  </si>
  <si>
    <t xml:space="preserve">2gis.ru</t>
  </si>
  <si>
    <t xml:space="preserve">Каталог</t>
  </si>
  <si>
    <t xml:space="preserve">Обнаружение, адреса, рейтинги</t>
  </si>
  <si>
    <t xml:space="preserve">Средняя</t>
  </si>
  <si>
    <t xml:space="preserve">Дубли, закрытые карточки</t>
  </si>
  <si>
    <t xml:space="preserve">ИСТ-003</t>
  </si>
  <si>
    <t xml:space="preserve">Яндекс Карты</t>
  </si>
  <si>
    <t xml:space="preserve">yandex.ru/maps</t>
  </si>
  <si>
    <t xml:space="preserve">Обнаружение, режим работы</t>
  </si>
  <si>
    <t xml:space="preserve">API платный</t>
  </si>
  <si>
    <t xml:space="preserve">Лицензия запрещает сохранять данные поиска по организациям</t>
  </si>
  <si>
    <t xml:space="preserve">ИСТ-004</t>
  </si>
  <si>
    <t xml:space="preserve">prodoctorov.ru</t>
  </si>
  <si>
    <t xml:space="preserve">Медагрегатор</t>
  </si>
  <si>
    <t xml:space="preserve">Врачи, специализации, клиники</t>
  </si>
  <si>
    <t xml:space="preserve">Врач/клиника</t>
  </si>
  <si>
    <t xml:space="preserve">Врач может числиться в нескольких клиниках</t>
  </si>
  <si>
    <t xml:space="preserve">ИСТ-005</t>
  </si>
  <si>
    <t xml:space="preserve">НаПоправку</t>
  </si>
  <si>
    <t xml:space="preserve">napopravku.ru</t>
  </si>
  <si>
    <t xml:space="preserve">Клиники, врачи, направления</t>
  </si>
  <si>
    <t xml:space="preserve">ИСТ-006</t>
  </si>
  <si>
    <t xml:space="preserve">Zoon</t>
  </si>
  <si>
    <t xml:space="preserve">zoon.ru</t>
  </si>
  <si>
    <t xml:space="preserve">Агрегатор</t>
  </si>
  <si>
    <t xml:space="preserve">Обнаружение, рейтинги</t>
  </si>
  <si>
    <t xml:space="preserve">ИСТ-007</t>
  </si>
  <si>
    <t xml:space="preserve">Реестр лицензий Росздравнадзора</t>
  </si>
  <si>
    <t xml:space="preserve">roszdravnadzor.gov.ru</t>
  </si>
  <si>
    <t xml:space="preserve">Государственный реестр</t>
  </si>
  <si>
    <t xml:space="preserve">Юрлицо, адреса, виды работ и услуг</t>
  </si>
  <si>
    <t xml:space="preserve">Юрлицо/адрес</t>
  </si>
  <si>
    <t xml:space="preserve">Высшая</t>
  </si>
  <si>
    <t xml:space="preserve">Единственный путь к слову «все». Поиск неудобен</t>
  </si>
  <si>
    <t xml:space="preserve">ИСТ-008</t>
  </si>
  <si>
    <t xml:space="preserve">DaData</t>
  </si>
  <si>
    <t xml:space="preserve">dadata.ru</t>
  </si>
  <si>
    <t xml:space="preserve">Реестр</t>
  </si>
  <si>
    <t xml:space="preserve">ИНН, ОГРН, юрлицо, финансы</t>
  </si>
  <si>
    <t xml:space="preserve">Юрлицо</t>
  </si>
  <si>
    <t xml:space="preserve">До 10 000 запр./сутки бесплатно</t>
  </si>
  <si>
    <t xml:space="preserve">Нужна однозначная привязка бренда к юрлицу</t>
  </si>
  <si>
    <t xml:space="preserve">ИСТ-009</t>
  </si>
  <si>
    <t xml:space="preserve">Яндекс Search API</t>
  </si>
  <si>
    <t xml:space="preserve">aistudio.yandex.ru</t>
  </si>
  <si>
    <t xml:space="preserve">Поисковый API</t>
  </si>
  <si>
    <t xml:space="preserve">Российская поисковая выдача</t>
  </si>
  <si>
    <t xml:space="preserve">Запрос</t>
  </si>
  <si>
    <t xml:space="preserve">~100 ₽ за 1000 запросов</t>
  </si>
  <si>
    <t xml:space="preserve">Ответ base64, нужна декодировка</t>
  </si>
  <si>
    <t xml:space="preserve">ИСТ-010</t>
  </si>
  <si>
    <t xml:space="preserve">Perplexity API</t>
  </si>
  <si>
    <t xml:space="preserve">perplexity.ai</t>
  </si>
  <si>
    <t xml:space="preserve">Поисковый AI</t>
  </si>
  <si>
    <t xml:space="preserve">Резервный контур, кросс-проверка</t>
  </si>
  <si>
    <t xml:space="preserve">Платный по токенам</t>
  </si>
  <si>
    <t xml:space="preserve">Суммаризирует, а не список URL — только как второй контур</t>
  </si>
  <si>
    <t xml:space="preserve">Метрики полноты и качества — обновляются автоматически при добавлении строк на листы 01 и 04.</t>
  </si>
  <si>
    <t xml:space="preserve">Метрика</t>
  </si>
  <si>
    <t xml:space="preserve">Значение</t>
  </si>
  <si>
    <t xml:space="preserve">Как считается</t>
  </si>
  <si>
    <t xml:space="preserve">Всего кандидатов найдено</t>
  </si>
  <si>
    <t xml:space="preserve">Строки на листе 04</t>
  </si>
  <si>
    <t xml:space="preserve">Включено в анализ</t>
  </si>
  <si>
    <t xml:space="preserve">Решение = Включён</t>
  </si>
  <si>
    <t xml:space="preserve">Исключено с обоснованием</t>
  </si>
  <si>
    <t xml:space="preserve">Решение = Исключён</t>
  </si>
  <si>
    <t xml:space="preserve">Требует проверки (открыто)</t>
  </si>
  <si>
    <t xml:space="preserve">Незакрытые хвосты</t>
  </si>
  <si>
    <t xml:space="preserve">Клиник в основной таблице</t>
  </si>
  <si>
    <t xml:space="preserve">Строки на листе 01</t>
  </si>
  <si>
    <t xml:space="preserve">Из них — грейд A</t>
  </si>
  <si>
    <t xml:space="preserve">Проверено по официальному сайту</t>
  </si>
  <si>
    <t xml:space="preserve">Из них — ИНН не установлен</t>
  </si>
  <si>
    <t xml:space="preserve">Честный показатель пробелов</t>
  </si>
  <si>
    <t xml:space="preserve">Тип 1 — узкоспециализированные</t>
  </si>
  <si>
    <t xml:space="preserve">Прямые конкуренты</t>
  </si>
  <si>
    <t xml:space="preserve">Тип 2 — смежные</t>
  </si>
  <si>
    <t xml:space="preserve">Частичные заменители</t>
  </si>
  <si>
    <t xml:space="preserve">Тип 3 — многопрофильные</t>
  </si>
  <si>
    <t xml:space="preserve">Косвенные конкуренты</t>
  </si>
  <si>
    <t xml:space="preserve">Не классифицировано</t>
  </si>
  <si>
    <t xml:space="preserve">Нужна доработка</t>
  </si>
  <si>
    <t xml:space="preserve">Покрытие: проверено / найдено</t>
  </si>
  <si>
    <t xml:space="preserve">Метрика качества. НЕ означает «все клиники города»</t>
  </si>
  <si>
    <t xml:space="preserve">Ни одна метрика не означает «мы нашли все клиники». Слово «все» правомерно только при сплошном переборе реестра лицензий Росздравнадзора.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</si>
</sst>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555555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66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</row>
    <row r="6" customFormat="false" ht="30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</row>
    <row r="7" customFormat="false" ht="23.85" hidden="false" customHeight="false" outlineLevel="0" collapsed="false">
      <c r="A7" s="6" t="s">
        <v>8</v>
      </c>
      <c r="B7" s="6" t="s">
        <v>9</v>
      </c>
      <c r="C7" s="6" t="s">
        <v>10</v>
      </c>
      <c r="D7" s="6" t="s">
        <v>11</v>
      </c>
    </row>
    <row r="8" customFormat="false" ht="23.85" hidden="false" customHeight="false" outlineLevel="0" collapsed="false">
      <c r="A8" s="6" t="s">
        <v>12</v>
      </c>
      <c r="B8" s="6" t="s">
        <v>13</v>
      </c>
      <c r="C8" s="6" t="s">
        <v>14</v>
      </c>
      <c r="D8" s="6" t="s">
        <v>15</v>
      </c>
    </row>
    <row r="9" customFormat="false" ht="23.85" hidden="false" customHeight="false" outlineLevel="0" collapsed="false">
      <c r="A9" s="6" t="s">
        <v>16</v>
      </c>
      <c r="B9" s="6" t="s">
        <v>17</v>
      </c>
      <c r="C9" s="6" t="s">
        <v>18</v>
      </c>
      <c r="D9" s="6" t="s">
        <v>19</v>
      </c>
    </row>
    <row r="10" customFormat="false" ht="23.85" hidden="false" customHeight="false" outlineLevel="0" collapsed="false">
      <c r="A10" s="6" t="s">
        <v>20</v>
      </c>
      <c r="B10" s="6" t="s">
        <v>21</v>
      </c>
      <c r="C10" s="6" t="s">
        <v>22</v>
      </c>
      <c r="D10" s="6" t="s">
        <v>23</v>
      </c>
    </row>
    <row r="11" customFormat="false" ht="23.85" hidden="false" customHeight="false" outlineLevel="0" collapsed="false">
      <c r="A11" s="6" t="s">
        <v>24</v>
      </c>
      <c r="B11" s="6" t="s">
        <v>25</v>
      </c>
      <c r="C11" s="6" t="s">
        <v>26</v>
      </c>
      <c r="D11" s="6" t="s">
        <v>27</v>
      </c>
    </row>
    <row r="12" customFormat="false" ht="15" hidden="false" customHeight="false" outlineLevel="0" collapsed="false">
      <c r="A12" s="6" t="s">
        <v>28</v>
      </c>
      <c r="B12" s="6" t="s">
        <v>29</v>
      </c>
      <c r="C12" s="6" t="s">
        <v>30</v>
      </c>
      <c r="D12" s="6" t="s">
        <v>31</v>
      </c>
    </row>
    <row r="13" customFormat="false" ht="23.85" hidden="false" customHeight="false" outlineLevel="0" collapsed="false">
      <c r="A13" s="6" t="s">
        <v>32</v>
      </c>
      <c r="B13" s="6" t="s">
        <v>33</v>
      </c>
      <c r="C13" s="6" t="s">
        <v>34</v>
      </c>
      <c r="D13" s="6" t="s">
        <v>35</v>
      </c>
    </row>
    <row r="16" customFormat="false" ht="15" hidden="false" customHeight="false" outlineLevel="0" collapsed="false">
      <c r="A16" s="4" t="s">
        <v>36</v>
      </c>
    </row>
    <row r="17" customFormat="false" ht="27.75" hidden="false" customHeight="true" outlineLevel="0" collapsed="false">
      <c r="A17" s="5" t="s">
        <v>37</v>
      </c>
      <c r="B17" s="5" t="s">
        <v>38</v>
      </c>
      <c r="C17" s="5" t="s">
        <v>39</v>
      </c>
    </row>
    <row r="18" customFormat="false" ht="35.05" hidden="false" customHeight="false" outlineLevel="0" collapsed="false">
      <c r="A18" s="6" t="s">
        <v>40</v>
      </c>
      <c r="B18" s="6" t="s">
        <v>41</v>
      </c>
      <c r="C18" s="6" t="s">
        <v>42</v>
      </c>
    </row>
    <row r="19" customFormat="false" ht="23.85" hidden="false" customHeight="false" outlineLevel="0" collapsed="false">
      <c r="A19" s="6" t="s">
        <v>43</v>
      </c>
      <c r="B19" s="6" t="s">
        <v>44</v>
      </c>
      <c r="C19" s="6" t="s">
        <v>45</v>
      </c>
    </row>
    <row r="20" customFormat="false" ht="23.85" hidden="false" customHeight="false" outlineLevel="0" collapsed="false">
      <c r="A20" s="6" t="s">
        <v>46</v>
      </c>
      <c r="B20" s="6" t="s">
        <v>47</v>
      </c>
      <c r="C20" s="6" t="s">
        <v>48</v>
      </c>
    </row>
    <row r="21" customFormat="false" ht="23.85" hidden="false" customHeight="false" outlineLevel="0" collapsed="false">
      <c r="A21" s="6" t="s">
        <v>49</v>
      </c>
      <c r="B21" s="6" t="s">
        <v>50</v>
      </c>
      <c r="C21" s="6" t="s">
        <v>51</v>
      </c>
    </row>
    <row r="22" customFormat="false" ht="23.85" hidden="false" customHeight="false" outlineLevel="0" collapsed="false">
      <c r="A22" s="6" t="s">
        <v>52</v>
      </c>
      <c r="B22" s="6" t="s">
        <v>53</v>
      </c>
      <c r="C22" s="6" t="s">
        <v>54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9"/>
    <col collapsed="false" customWidth="true" hidden="false" outlineLevel="0" max="13" min="12" style="0" width="12"/>
    <col collapsed="false" customWidth="true" hidden="false" outlineLevel="0" max="14" min="14" style="0" width="20"/>
    <col collapsed="false" customWidth="true" hidden="false" outlineLevel="0" max="15" min="15" style="0" width="24"/>
    <col collapsed="false" customWidth="true" hidden="false" outlineLevel="0" max="16" min="16" style="0" width="13"/>
    <col collapsed="false" customWidth="true" hidden="false" outlineLevel="0" max="17" min="17" style="0" width="16"/>
    <col collapsed="false" customWidth="true" hidden="false" outlineLevel="0" max="18" min="18" style="0" width="17"/>
    <col collapsed="false" customWidth="true" hidden="false" outlineLevel="0" max="19" min="19" style="0" width="12"/>
    <col collapsed="false" customWidth="true" hidden="false" outlineLevel="0" max="20" min="20" style="0" width="21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3" min="23" style="0" width="20"/>
    <col collapsed="false" customWidth="true" hidden="false" outlineLevel="0" max="24" min="24" style="0" width="22"/>
    <col collapsed="false" customWidth="true" hidden="false" outlineLevel="0" max="25" min="25" style="0" width="20"/>
    <col collapsed="false" customWidth="true" hidden="false" outlineLevel="0" max="26" min="26" style="0" width="24"/>
    <col collapsed="false" customWidth="true" hidden="false" outlineLevel="0" max="28" min="27" style="0" width="14"/>
    <col collapsed="false" customWidth="true" hidden="false" outlineLevel="0" max="30" min="29" style="0" width="12"/>
    <col collapsed="false" customWidth="true" hidden="false" outlineLevel="0" max="31" min="31" style="0" width="13"/>
    <col collapsed="false" customWidth="true" hidden="false" outlineLevel="0" max="32" min="32" style="0" width="8"/>
    <col collapsed="false" customWidth="true" hidden="false" outlineLevel="0" max="33" min="33" style="0" width="26"/>
  </cols>
  <sheetData>
    <row r="1" customFormat="false" ht="27.75" hidden="false" customHeight="true" outlineLevel="0" collapsed="false">
      <c r="A1" s="7" t="s">
        <v>55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customFormat="false" ht="21.75" hidden="false" customHeight="true" outlineLevel="0" collapsed="false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customFormat="false" ht="42" hidden="false" customHeight="true" outlineLevel="0" collapsed="false">
      <c r="A3" s="5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40</v>
      </c>
      <c r="J3" s="5" t="s">
        <v>43</v>
      </c>
      <c r="K3" s="5" t="s">
        <v>52</v>
      </c>
      <c r="L3" s="5" t="s">
        <v>65</v>
      </c>
      <c r="M3" s="5" t="s">
        <v>66</v>
      </c>
      <c r="N3" s="5" t="s">
        <v>67</v>
      </c>
      <c r="O3" s="5" t="s">
        <v>68</v>
      </c>
      <c r="P3" s="5" t="s">
        <v>69</v>
      </c>
      <c r="Q3" s="5" t="s">
        <v>70</v>
      </c>
      <c r="R3" s="5" t="s">
        <v>71</v>
      </c>
      <c r="S3" s="5" t="s">
        <v>72</v>
      </c>
      <c r="T3" s="5" t="s">
        <v>73</v>
      </c>
      <c r="U3" s="5" t="s">
        <v>74</v>
      </c>
      <c r="V3" s="5" t="s">
        <v>75</v>
      </c>
      <c r="W3" s="5" t="s">
        <v>76</v>
      </c>
      <c r="X3" s="5" t="s">
        <v>77</v>
      </c>
      <c r="Y3" s="5" t="s">
        <v>78</v>
      </c>
      <c r="Z3" s="5" t="s">
        <v>79</v>
      </c>
      <c r="AA3" s="5" t="s">
        <v>80</v>
      </c>
      <c r="AB3" s="5" t="s">
        <v>81</v>
      </c>
      <c r="AC3" s="5" t="s">
        <v>82</v>
      </c>
      <c r="AD3" s="5" t="s">
        <v>83</v>
      </c>
      <c r="AE3" s="5" t="s">
        <v>84</v>
      </c>
      <c r="AF3" s="5" t="s">
        <v>49</v>
      </c>
      <c r="AG3" s="5" t="s">
        <v>85</v>
      </c>
    </row>
    <row r="4" customFormat="false" ht="23.85" hidden="false" customHeight="false" outlineLevel="0" collapsed="false">
      <c r="A4" s="9" t="s">
        <v>86</v>
      </c>
      <c r="B4" s="9" t="s">
        <v>87</v>
      </c>
      <c r="C4" s="9" t="s">
        <v>88</v>
      </c>
      <c r="D4" s="9" t="s">
        <v>89</v>
      </c>
      <c r="E4" s="9" t="s">
        <v>90</v>
      </c>
      <c r="F4" s="9" t="s">
        <v>91</v>
      </c>
      <c r="G4" s="9" t="s">
        <v>92</v>
      </c>
      <c r="H4" s="9" t="s">
        <v>93</v>
      </c>
      <c r="I4" s="10" t="s">
        <v>94</v>
      </c>
      <c r="J4" s="9" t="s">
        <v>95</v>
      </c>
      <c r="K4" s="9" t="s">
        <v>96</v>
      </c>
      <c r="L4" s="9" t="n">
        <v>3</v>
      </c>
      <c r="M4" s="9" t="n">
        <v>4</v>
      </c>
      <c r="N4" s="9" t="s">
        <v>97</v>
      </c>
      <c r="O4" s="9" t="s">
        <v>98</v>
      </c>
      <c r="P4" s="9" t="s">
        <v>96</v>
      </c>
      <c r="Q4" s="9" t="s">
        <v>96</v>
      </c>
      <c r="R4" s="9" t="s">
        <v>96</v>
      </c>
      <c r="S4" s="9" t="s">
        <v>96</v>
      </c>
      <c r="T4" s="9" t="s">
        <v>96</v>
      </c>
      <c r="U4" s="9" t="s">
        <v>96</v>
      </c>
      <c r="V4" s="9" t="s">
        <v>96</v>
      </c>
      <c r="W4" s="9" t="s">
        <v>99</v>
      </c>
      <c r="X4" s="9" t="s">
        <v>99</v>
      </c>
      <c r="Y4" s="9" t="s">
        <v>99</v>
      </c>
      <c r="Z4" s="9" t="s">
        <v>100</v>
      </c>
      <c r="AA4" s="9" t="n">
        <v>1200</v>
      </c>
      <c r="AB4" s="9"/>
      <c r="AC4" s="9"/>
      <c r="AD4" s="9"/>
      <c r="AE4" s="9" t="s">
        <v>101</v>
      </c>
      <c r="AF4" s="9" t="s">
        <v>102</v>
      </c>
      <c r="AG4" s="9" t="s">
        <v>103</v>
      </c>
    </row>
    <row r="5" customFormat="false" ht="15" hidden="false" customHeight="false" outlineLevel="0" collapsed="false">
      <c r="A5" s="9" t="s">
        <v>104</v>
      </c>
      <c r="B5" s="9" t="s">
        <v>87</v>
      </c>
      <c r="C5" s="9" t="s">
        <v>88</v>
      </c>
      <c r="D5" s="9" t="s">
        <v>105</v>
      </c>
      <c r="E5" s="9" t="s">
        <v>106</v>
      </c>
      <c r="F5" s="9" t="s">
        <v>91</v>
      </c>
      <c r="G5" s="9" t="s">
        <v>92</v>
      </c>
      <c r="H5" s="9" t="s">
        <v>93</v>
      </c>
      <c r="I5" s="10" t="s">
        <v>94</v>
      </c>
      <c r="J5" s="9" t="s">
        <v>95</v>
      </c>
      <c r="K5" s="9" t="s">
        <v>96</v>
      </c>
      <c r="L5" s="9" t="n">
        <v>3</v>
      </c>
      <c r="M5" s="9" t="n">
        <v>4</v>
      </c>
      <c r="N5" s="9" t="s">
        <v>97</v>
      </c>
      <c r="O5" s="9" t="s">
        <v>98</v>
      </c>
      <c r="P5" s="9" t="s">
        <v>96</v>
      </c>
      <c r="Q5" s="9" t="s">
        <v>96</v>
      </c>
      <c r="R5" s="9" t="s">
        <v>96</v>
      </c>
      <c r="S5" s="9" t="s">
        <v>96</v>
      </c>
      <c r="T5" s="9" t="s">
        <v>96</v>
      </c>
      <c r="U5" s="9" t="s">
        <v>96</v>
      </c>
      <c r="V5" s="9" t="s">
        <v>96</v>
      </c>
      <c r="W5" s="9" t="s">
        <v>99</v>
      </c>
      <c r="X5" s="9" t="s">
        <v>99</v>
      </c>
      <c r="Y5" s="9" t="s">
        <v>99</v>
      </c>
      <c r="Z5" s="9" t="s">
        <v>100</v>
      </c>
      <c r="AA5" s="9" t="n">
        <v>1200</v>
      </c>
      <c r="AB5" s="9"/>
      <c r="AC5" s="9"/>
      <c r="AD5" s="9"/>
      <c r="AE5" s="9" t="s">
        <v>101</v>
      </c>
      <c r="AF5" s="9" t="s">
        <v>102</v>
      </c>
      <c r="AG5" s="9" t="s">
        <v>107</v>
      </c>
    </row>
    <row r="6" customFormat="false" ht="15" hidden="false" customHeight="false" outlineLevel="0" collapsed="false">
      <c r="A6" s="6" t="s">
        <v>108</v>
      </c>
      <c r="B6" s="6" t="s">
        <v>109</v>
      </c>
      <c r="C6" s="6" t="s">
        <v>110</v>
      </c>
      <c r="D6" s="6" t="s">
        <v>111</v>
      </c>
      <c r="E6" s="6" t="s">
        <v>112</v>
      </c>
      <c r="F6" s="6" t="s">
        <v>93</v>
      </c>
      <c r="G6" s="6" t="s">
        <v>93</v>
      </c>
      <c r="H6" s="6" t="s">
        <v>93</v>
      </c>
      <c r="I6" s="11" t="s">
        <v>113</v>
      </c>
      <c r="J6" s="6" t="s">
        <v>114</v>
      </c>
      <c r="K6" s="6" t="s">
        <v>99</v>
      </c>
      <c r="L6" s="6" t="n">
        <v>1</v>
      </c>
      <c r="M6" s="6" t="n">
        <v>1</v>
      </c>
      <c r="N6" s="6" t="s">
        <v>115</v>
      </c>
      <c r="O6" s="6" t="s">
        <v>116</v>
      </c>
      <c r="P6" s="6" t="s">
        <v>96</v>
      </c>
      <c r="Q6" s="6" t="s">
        <v>117</v>
      </c>
      <c r="R6" s="6" t="s">
        <v>117</v>
      </c>
      <c r="S6" s="6" t="s">
        <v>96</v>
      </c>
      <c r="T6" s="6" t="s">
        <v>96</v>
      </c>
      <c r="U6" s="6" t="s">
        <v>117</v>
      </c>
      <c r="V6" s="6" t="s">
        <v>96</v>
      </c>
      <c r="W6" s="6" t="s">
        <v>96</v>
      </c>
      <c r="X6" s="6" t="s">
        <v>96</v>
      </c>
      <c r="Y6" s="6" t="s">
        <v>117</v>
      </c>
      <c r="Z6" s="6" t="s">
        <v>100</v>
      </c>
      <c r="AA6" s="6"/>
      <c r="AB6" s="6"/>
      <c r="AC6" s="6"/>
      <c r="AD6" s="6"/>
      <c r="AE6" s="6" t="s">
        <v>118</v>
      </c>
      <c r="AF6" s="6" t="s">
        <v>119</v>
      </c>
      <c r="AG6" s="6" t="s">
        <v>120</v>
      </c>
    </row>
  </sheetData>
  <autoFilter ref="A3:AG300"/>
  <mergeCells count="2">
    <mergeCell ref="A1:AE1"/>
    <mergeCell ref="A2:AE2"/>
  </mergeCells>
  <dataValidations count="1">
    <dataValidation allowBlank="true" errorStyle="stop" operator="between" showDropDown="false" showErrorMessage="false" showInputMessage="false" sqref="P4:Y300" type="list">
      <formula1>"Да,Нет,Не найдено,Уточнить"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56"/>
    <col collapsed="false" customWidth="true" hidden="false" outlineLevel="0" max="11" min="11" style="0" width="14"/>
    <col collapsed="false" customWidth="true" hidden="false" outlineLevel="0" max="12" min="12" style="0" width="8"/>
  </cols>
  <sheetData>
    <row r="1" customFormat="false" ht="24" hidden="false" customHeight="true" outlineLevel="0" collapsed="false">
      <c r="A1" s="7" t="s">
        <v>121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customFormat="false" ht="31.5" hidden="false" customHeight="true" outlineLevel="0" collapsed="false">
      <c r="A3" s="5" t="s">
        <v>57</v>
      </c>
      <c r="B3" s="5" t="s">
        <v>122</v>
      </c>
      <c r="C3" s="5" t="s">
        <v>123</v>
      </c>
      <c r="D3" s="5" t="s">
        <v>124</v>
      </c>
      <c r="E3" s="5" t="s">
        <v>125</v>
      </c>
      <c r="F3" s="5" t="s">
        <v>126</v>
      </c>
      <c r="G3" s="5" t="s">
        <v>127</v>
      </c>
      <c r="H3" s="5" t="s">
        <v>128</v>
      </c>
      <c r="I3" s="5" t="s">
        <v>129</v>
      </c>
      <c r="J3" s="5" t="s">
        <v>130</v>
      </c>
      <c r="K3" s="5" t="s">
        <v>84</v>
      </c>
      <c r="L3" s="5" t="s">
        <v>131</v>
      </c>
    </row>
    <row r="4" customFormat="false" ht="15" hidden="false" customHeight="false" outlineLevel="0" collapsed="false">
      <c r="A4" s="9" t="s">
        <v>86</v>
      </c>
      <c r="B4" s="9" t="s">
        <v>89</v>
      </c>
      <c r="C4" s="9" t="s">
        <v>132</v>
      </c>
      <c r="D4" s="9" t="s">
        <v>133</v>
      </c>
      <c r="E4" s="9" t="s">
        <v>134</v>
      </c>
      <c r="F4" s="9" t="n">
        <v>1200</v>
      </c>
      <c r="G4" s="9"/>
      <c r="H4" s="9" t="s">
        <v>135</v>
      </c>
      <c r="I4" s="9" t="s">
        <v>135</v>
      </c>
      <c r="J4" s="9" t="s">
        <v>136</v>
      </c>
      <c r="K4" s="9" t="s">
        <v>101</v>
      </c>
      <c r="L4" s="9" t="s">
        <v>102</v>
      </c>
    </row>
    <row r="5" customFormat="false" ht="15" hidden="false" customHeight="false" outlineLevel="0" collapsed="false">
      <c r="A5" s="9" t="s">
        <v>86</v>
      </c>
      <c r="B5" s="9" t="s">
        <v>89</v>
      </c>
      <c r="C5" s="9" t="s">
        <v>137</v>
      </c>
      <c r="D5" s="9" t="s">
        <v>138</v>
      </c>
      <c r="E5" s="9" t="s">
        <v>134</v>
      </c>
      <c r="F5" s="9" t="n">
        <v>1200</v>
      </c>
      <c r="G5" s="9"/>
      <c r="H5" s="9" t="s">
        <v>135</v>
      </c>
      <c r="I5" s="9" t="s">
        <v>135</v>
      </c>
      <c r="J5" s="9" t="s">
        <v>136</v>
      </c>
      <c r="K5" s="9" t="s">
        <v>101</v>
      </c>
      <c r="L5" s="9" t="s">
        <v>102</v>
      </c>
    </row>
    <row r="6" customFormat="false" ht="15" hidden="false" customHeight="false" outlineLevel="0" collapsed="false">
      <c r="A6" s="9" t="s">
        <v>86</v>
      </c>
      <c r="B6" s="9" t="s">
        <v>89</v>
      </c>
      <c r="C6" s="9" t="s">
        <v>139</v>
      </c>
      <c r="D6" s="9" t="s">
        <v>140</v>
      </c>
      <c r="E6" s="9" t="s">
        <v>134</v>
      </c>
      <c r="F6" s="9" t="n">
        <v>1200</v>
      </c>
      <c r="G6" s="9"/>
      <c r="H6" s="9" t="s">
        <v>135</v>
      </c>
      <c r="I6" s="9" t="s">
        <v>135</v>
      </c>
      <c r="J6" s="9" t="s">
        <v>136</v>
      </c>
      <c r="K6" s="9" t="s">
        <v>101</v>
      </c>
      <c r="L6" s="9" t="s">
        <v>102</v>
      </c>
    </row>
    <row r="7" customFormat="false" ht="15" hidden="false" customHeight="false" outlineLevel="0" collapsed="false">
      <c r="A7" s="9" t="s">
        <v>86</v>
      </c>
      <c r="B7" s="9" t="s">
        <v>89</v>
      </c>
      <c r="C7" s="9" t="s">
        <v>141</v>
      </c>
      <c r="D7" s="9" t="s">
        <v>142</v>
      </c>
      <c r="E7" s="9" t="s">
        <v>143</v>
      </c>
      <c r="F7" s="9" t="n">
        <v>3600</v>
      </c>
      <c r="G7" s="9"/>
      <c r="H7" s="9" t="s">
        <v>144</v>
      </c>
      <c r="I7" s="9" t="s">
        <v>135</v>
      </c>
      <c r="J7" s="9" t="s">
        <v>145</v>
      </c>
      <c r="K7" s="9" t="s">
        <v>101</v>
      </c>
      <c r="L7" s="9" t="s">
        <v>102</v>
      </c>
    </row>
    <row r="8" customFormat="false" ht="15" hidden="false" customHeight="false" outlineLevel="0" collapsed="false">
      <c r="A8" s="9" t="s">
        <v>86</v>
      </c>
      <c r="B8" s="9" t="s">
        <v>89</v>
      </c>
      <c r="C8" s="9" t="s">
        <v>146</v>
      </c>
      <c r="D8" s="9" t="s">
        <v>74</v>
      </c>
      <c r="E8" s="9" t="s">
        <v>143</v>
      </c>
      <c r="F8" s="9"/>
      <c r="G8" s="9"/>
      <c r="H8" s="9" t="s">
        <v>147</v>
      </c>
      <c r="I8" s="9" t="s">
        <v>96</v>
      </c>
      <c r="J8" s="9" t="s">
        <v>145</v>
      </c>
      <c r="K8" s="9" t="s">
        <v>101</v>
      </c>
      <c r="L8" s="9" t="s">
        <v>102</v>
      </c>
    </row>
    <row r="9" customFormat="false" ht="15" hidden="false" customHeight="false" outlineLevel="0" collapsed="false">
      <c r="A9" s="9" t="s">
        <v>86</v>
      </c>
      <c r="B9" s="9" t="s">
        <v>89</v>
      </c>
      <c r="C9" s="9" t="s">
        <v>148</v>
      </c>
      <c r="D9" s="9" t="s">
        <v>149</v>
      </c>
      <c r="E9" s="9" t="s">
        <v>71</v>
      </c>
      <c r="F9" s="9" t="n">
        <v>2800</v>
      </c>
      <c r="G9" s="9"/>
      <c r="H9" s="9" t="s">
        <v>150</v>
      </c>
      <c r="I9" s="9" t="s">
        <v>96</v>
      </c>
      <c r="J9" s="9" t="s">
        <v>151</v>
      </c>
      <c r="K9" s="9" t="s">
        <v>101</v>
      </c>
      <c r="L9" s="9" t="s">
        <v>102</v>
      </c>
    </row>
    <row r="10" customFormat="false" ht="15" hidden="false" customHeight="false" outlineLevel="0" collapsed="false">
      <c r="A10" s="9" t="s">
        <v>86</v>
      </c>
      <c r="B10" s="9" t="s">
        <v>89</v>
      </c>
      <c r="C10" s="9" t="s">
        <v>152</v>
      </c>
      <c r="D10" s="9" t="s">
        <v>152</v>
      </c>
      <c r="E10" s="9" t="s">
        <v>71</v>
      </c>
      <c r="F10" s="9"/>
      <c r="G10" s="9"/>
      <c r="H10" s="9" t="s">
        <v>153</v>
      </c>
      <c r="I10" s="9" t="s">
        <v>99</v>
      </c>
      <c r="J10" s="9" t="s">
        <v>151</v>
      </c>
      <c r="K10" s="9" t="s">
        <v>101</v>
      </c>
      <c r="L10" s="9" t="s">
        <v>102</v>
      </c>
    </row>
    <row r="11" customFormat="false" ht="15" hidden="false" customHeight="false" outlineLevel="0" collapsed="false">
      <c r="A11" s="9" t="s">
        <v>86</v>
      </c>
      <c r="B11" s="9" t="s">
        <v>89</v>
      </c>
      <c r="C11" s="9" t="s">
        <v>154</v>
      </c>
      <c r="D11" s="9" t="s">
        <v>155</v>
      </c>
      <c r="E11" s="9" t="s">
        <v>72</v>
      </c>
      <c r="F11" s="9" t="n">
        <v>5000</v>
      </c>
      <c r="G11" s="9"/>
      <c r="H11" s="9" t="s">
        <v>156</v>
      </c>
      <c r="I11" s="9" t="s">
        <v>135</v>
      </c>
      <c r="J11" s="9" t="s">
        <v>157</v>
      </c>
      <c r="K11" s="9" t="s">
        <v>101</v>
      </c>
      <c r="L11" s="9" t="s">
        <v>102</v>
      </c>
    </row>
    <row r="12" customFormat="false" ht="15" hidden="false" customHeight="false" outlineLevel="0" collapsed="false">
      <c r="A12" s="9" t="s">
        <v>86</v>
      </c>
      <c r="B12" s="9" t="s">
        <v>89</v>
      </c>
      <c r="C12" s="9" t="s">
        <v>158</v>
      </c>
      <c r="D12" s="9" t="s">
        <v>158</v>
      </c>
      <c r="E12" s="9" t="s">
        <v>69</v>
      </c>
      <c r="F12" s="9" t="n">
        <v>2800</v>
      </c>
      <c r="G12" s="9"/>
      <c r="H12" s="9" t="s">
        <v>135</v>
      </c>
      <c r="I12" s="9" t="s">
        <v>135</v>
      </c>
      <c r="J12" s="9" t="s">
        <v>159</v>
      </c>
      <c r="K12" s="9" t="s">
        <v>101</v>
      </c>
      <c r="L12" s="9" t="s">
        <v>102</v>
      </c>
    </row>
  </sheetData>
  <autoFilter ref="A3:L1000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52"/>
    <col collapsed="false" customWidth="true" hidden="false" outlineLevel="0" max="7" min="7" style="0" width="14"/>
    <col collapsed="false" customWidth="true" hidden="false" outlineLevel="0" max="8" min="8" style="0" width="60"/>
    <col collapsed="false" customWidth="true" hidden="false" outlineLevel="0" max="9" min="9" style="0" width="8"/>
    <col collapsed="false" customWidth="true" hidden="false" outlineLevel="0" max="10" min="10" style="0" width="28"/>
  </cols>
  <sheetData>
    <row r="1" customFormat="false" ht="24" hidden="false" customHeight="true" outlineLevel="0" collapsed="false">
      <c r="A1" s="7" t="s">
        <v>160</v>
      </c>
      <c r="B1" s="7"/>
      <c r="C1" s="7"/>
      <c r="D1" s="7"/>
      <c r="E1" s="7"/>
      <c r="F1" s="7"/>
      <c r="G1" s="7"/>
      <c r="H1" s="7"/>
      <c r="I1" s="7"/>
      <c r="J1" s="7"/>
    </row>
    <row r="3" customFormat="false" ht="31.5" hidden="false" customHeight="true" outlineLevel="0" collapsed="false">
      <c r="A3" s="5" t="s">
        <v>161</v>
      </c>
      <c r="B3" s="5" t="s">
        <v>57</v>
      </c>
      <c r="C3" s="5" t="s">
        <v>162</v>
      </c>
      <c r="D3" s="5" t="s">
        <v>163</v>
      </c>
      <c r="E3" s="5" t="s">
        <v>164</v>
      </c>
      <c r="F3" s="5" t="s">
        <v>165</v>
      </c>
      <c r="G3" s="5" t="s">
        <v>166</v>
      </c>
      <c r="H3" s="5" t="s">
        <v>167</v>
      </c>
      <c r="I3" s="5" t="s">
        <v>131</v>
      </c>
      <c r="J3" s="5" t="s">
        <v>168</v>
      </c>
    </row>
    <row r="4" customFormat="false" ht="23.85" hidden="false" customHeight="false" outlineLevel="0" collapsed="false">
      <c r="A4" s="9" t="s">
        <v>169</v>
      </c>
      <c r="B4" s="9" t="s">
        <v>86</v>
      </c>
      <c r="C4" s="9" t="s">
        <v>71</v>
      </c>
      <c r="D4" s="9" t="s">
        <v>96</v>
      </c>
      <c r="E4" s="9" t="s">
        <v>170</v>
      </c>
      <c r="F4" s="9" t="s">
        <v>171</v>
      </c>
      <c r="G4" s="9" t="s">
        <v>101</v>
      </c>
      <c r="H4" s="9" t="s">
        <v>172</v>
      </c>
      <c r="I4" s="9" t="s">
        <v>102</v>
      </c>
      <c r="J4" s="9"/>
    </row>
    <row r="5" customFormat="false" ht="23.85" hidden="false" customHeight="false" outlineLevel="0" collapsed="false">
      <c r="A5" s="9" t="s">
        <v>173</v>
      </c>
      <c r="B5" s="9" t="s">
        <v>86</v>
      </c>
      <c r="C5" s="9" t="s">
        <v>77</v>
      </c>
      <c r="D5" s="9" t="s">
        <v>99</v>
      </c>
      <c r="E5" s="9" t="s">
        <v>170</v>
      </c>
      <c r="F5" s="9" t="s">
        <v>174</v>
      </c>
      <c r="G5" s="9" t="s">
        <v>101</v>
      </c>
      <c r="H5" s="9" t="s">
        <v>175</v>
      </c>
      <c r="I5" s="9" t="s">
        <v>102</v>
      </c>
      <c r="J5" s="9" t="s">
        <v>176</v>
      </c>
    </row>
    <row r="6" customFormat="false" ht="15" hidden="false" customHeight="false" outlineLevel="0" collapsed="false">
      <c r="A6" s="9" t="s">
        <v>177</v>
      </c>
      <c r="B6" s="9" t="s">
        <v>86</v>
      </c>
      <c r="C6" s="9" t="s">
        <v>66</v>
      </c>
      <c r="D6" s="9" t="s">
        <v>178</v>
      </c>
      <c r="E6" s="9" t="s">
        <v>170</v>
      </c>
      <c r="F6" s="9" t="s">
        <v>179</v>
      </c>
      <c r="G6" s="9" t="s">
        <v>101</v>
      </c>
      <c r="H6" s="9" t="s">
        <v>180</v>
      </c>
      <c r="I6" s="9" t="s">
        <v>102</v>
      </c>
      <c r="J6" s="9" t="s">
        <v>181</v>
      </c>
    </row>
    <row r="7" customFormat="false" ht="23.85" hidden="false" customHeight="false" outlineLevel="0" collapsed="false">
      <c r="A7" s="9" t="s">
        <v>107</v>
      </c>
      <c r="B7" s="9" t="s">
        <v>104</v>
      </c>
      <c r="C7" s="9" t="s">
        <v>61</v>
      </c>
      <c r="D7" s="9" t="s">
        <v>106</v>
      </c>
      <c r="E7" s="9" t="s">
        <v>170</v>
      </c>
      <c r="F7" s="9" t="s">
        <v>182</v>
      </c>
      <c r="G7" s="9" t="s">
        <v>101</v>
      </c>
      <c r="H7" s="9" t="s">
        <v>183</v>
      </c>
      <c r="I7" s="9" t="s">
        <v>102</v>
      </c>
      <c r="J7" s="9"/>
    </row>
  </sheetData>
  <autoFilter ref="A3:J2000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50"/>
    <col collapsed="false" customWidth="true" hidden="false" outlineLevel="0" max="9" min="9" style="0" width="22"/>
  </cols>
  <sheetData>
    <row r="1" customFormat="false" ht="30" hidden="false" customHeight="true" outlineLevel="0" collapsed="false">
      <c r="A1" s="7" t="s">
        <v>184</v>
      </c>
      <c r="B1" s="7"/>
      <c r="C1" s="7"/>
      <c r="D1" s="7"/>
      <c r="E1" s="7"/>
      <c r="F1" s="7"/>
      <c r="G1" s="7"/>
      <c r="H1" s="7"/>
      <c r="I1" s="7"/>
    </row>
    <row r="3" customFormat="false" ht="31.5" hidden="false" customHeight="true" outlineLevel="0" collapsed="false">
      <c r="A3" s="5" t="s">
        <v>185</v>
      </c>
      <c r="B3" s="5" t="s">
        <v>58</v>
      </c>
      <c r="C3" s="5" t="s">
        <v>186</v>
      </c>
      <c r="D3" s="5" t="s">
        <v>187</v>
      </c>
      <c r="E3" s="5" t="s">
        <v>188</v>
      </c>
      <c r="F3" s="5" t="s">
        <v>189</v>
      </c>
      <c r="G3" s="5" t="s">
        <v>190</v>
      </c>
      <c r="H3" s="5" t="s">
        <v>191</v>
      </c>
      <c r="I3" s="5" t="s">
        <v>192</v>
      </c>
    </row>
    <row r="4" customFormat="false" ht="15" hidden="false" customHeight="false" outlineLevel="0" collapsed="false">
      <c r="A4" s="9" t="s">
        <v>193</v>
      </c>
      <c r="B4" s="9" t="s">
        <v>87</v>
      </c>
      <c r="C4" s="9" t="s">
        <v>88</v>
      </c>
      <c r="D4" s="9" t="s">
        <v>188</v>
      </c>
      <c r="E4" s="9" t="s">
        <v>194</v>
      </c>
      <c r="F4" s="9" t="s">
        <v>195</v>
      </c>
      <c r="G4" s="9" t="s">
        <v>196</v>
      </c>
      <c r="H4" s="9" t="s">
        <v>197</v>
      </c>
      <c r="I4" s="9" t="s">
        <v>86</v>
      </c>
    </row>
    <row r="5" customFormat="false" ht="23.85" hidden="false" customHeight="false" outlineLevel="0" collapsed="false">
      <c r="A5" s="6" t="s">
        <v>198</v>
      </c>
      <c r="B5" s="6" t="s">
        <v>109</v>
      </c>
      <c r="C5" s="6" t="s">
        <v>199</v>
      </c>
      <c r="D5" s="6" t="s">
        <v>200</v>
      </c>
      <c r="E5" s="6" t="s">
        <v>201</v>
      </c>
      <c r="F5" s="6" t="s">
        <v>202</v>
      </c>
      <c r="G5" s="6" t="s">
        <v>203</v>
      </c>
      <c r="H5" s="6" t="s">
        <v>204</v>
      </c>
      <c r="I5" s="6"/>
    </row>
    <row r="6" customFormat="false" ht="15" hidden="false" customHeight="false" outlineLevel="0" collapsed="false">
      <c r="A6" s="6" t="s">
        <v>205</v>
      </c>
      <c r="B6" s="6" t="s">
        <v>109</v>
      </c>
      <c r="C6" s="6" t="s">
        <v>206</v>
      </c>
      <c r="D6" s="6" t="s">
        <v>207</v>
      </c>
      <c r="E6" s="6" t="s">
        <v>208</v>
      </c>
      <c r="F6" s="6" t="s">
        <v>209</v>
      </c>
      <c r="G6" s="6" t="s">
        <v>210</v>
      </c>
      <c r="H6" s="6" t="s">
        <v>211</v>
      </c>
      <c r="I6" s="6"/>
    </row>
    <row r="9" customFormat="false" ht="15" hidden="false" customHeight="false" outlineLevel="0" collapsed="false">
      <c r="A9" s="12" t="s">
        <v>212</v>
      </c>
    </row>
  </sheetData>
  <autoFilter ref="A3:I2000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30" hidden="false" customHeight="true" outlineLevel="0" collapsed="false">
      <c r="A1" s="7" t="s">
        <v>213</v>
      </c>
      <c r="B1" s="7"/>
      <c r="C1" s="7"/>
      <c r="D1" s="7"/>
      <c r="E1" s="7"/>
      <c r="F1" s="7"/>
      <c r="G1" s="7"/>
    </row>
    <row r="3" customFormat="false" ht="31.5" hidden="false" customHeight="true" outlineLevel="0" collapsed="false">
      <c r="A3" s="5" t="s">
        <v>214</v>
      </c>
      <c r="B3" s="5" t="s">
        <v>124</v>
      </c>
      <c r="C3" s="5" t="s">
        <v>125</v>
      </c>
      <c r="D3" s="5" t="s">
        <v>215</v>
      </c>
      <c r="E3" s="5" t="s">
        <v>216</v>
      </c>
      <c r="F3" s="5" t="s">
        <v>217</v>
      </c>
      <c r="G3" s="5" t="s">
        <v>168</v>
      </c>
    </row>
    <row r="4" customFormat="false" ht="15" hidden="false" customHeight="false" outlineLevel="0" collapsed="false">
      <c r="A4" s="9" t="s">
        <v>218</v>
      </c>
      <c r="B4" s="9" t="s">
        <v>133</v>
      </c>
      <c r="C4" s="9" t="s">
        <v>134</v>
      </c>
      <c r="D4" s="9" t="s">
        <v>96</v>
      </c>
      <c r="E4" s="9" t="s">
        <v>135</v>
      </c>
      <c r="F4" s="9" t="s">
        <v>96</v>
      </c>
      <c r="G4" s="9"/>
    </row>
    <row r="5" customFormat="false" ht="15" hidden="false" customHeight="false" outlineLevel="0" collapsed="false">
      <c r="A5" s="9" t="s">
        <v>219</v>
      </c>
      <c r="B5" s="9" t="s">
        <v>133</v>
      </c>
      <c r="C5" s="9" t="s">
        <v>134</v>
      </c>
      <c r="D5" s="9" t="s">
        <v>96</v>
      </c>
      <c r="E5" s="9" t="s">
        <v>135</v>
      </c>
      <c r="F5" s="9" t="s">
        <v>96</v>
      </c>
      <c r="G5" s="9" t="s">
        <v>220</v>
      </c>
    </row>
    <row r="6" customFormat="false" ht="15" hidden="false" customHeight="false" outlineLevel="0" collapsed="false">
      <c r="A6" s="9" t="s">
        <v>137</v>
      </c>
      <c r="B6" s="9" t="s">
        <v>138</v>
      </c>
      <c r="C6" s="9" t="s">
        <v>134</v>
      </c>
      <c r="D6" s="9" t="s">
        <v>96</v>
      </c>
      <c r="E6" s="9" t="s">
        <v>135</v>
      </c>
      <c r="F6" s="9" t="s">
        <v>96</v>
      </c>
      <c r="G6" s="9"/>
    </row>
    <row r="7" customFormat="false" ht="15" hidden="false" customHeight="false" outlineLevel="0" collapsed="false">
      <c r="A7" s="9" t="s">
        <v>70</v>
      </c>
      <c r="B7" s="9" t="s">
        <v>138</v>
      </c>
      <c r="C7" s="9" t="s">
        <v>134</v>
      </c>
      <c r="D7" s="9" t="s">
        <v>96</v>
      </c>
      <c r="E7" s="9" t="s">
        <v>135</v>
      </c>
      <c r="F7" s="9" t="s">
        <v>96</v>
      </c>
      <c r="G7" s="9" t="s">
        <v>220</v>
      </c>
    </row>
    <row r="8" customFormat="false" ht="15" hidden="false" customHeight="false" outlineLevel="0" collapsed="false">
      <c r="A8" s="9" t="s">
        <v>139</v>
      </c>
      <c r="B8" s="9" t="s">
        <v>140</v>
      </c>
      <c r="C8" s="9" t="s">
        <v>134</v>
      </c>
      <c r="D8" s="9" t="s">
        <v>96</v>
      </c>
      <c r="E8" s="9" t="s">
        <v>135</v>
      </c>
      <c r="F8" s="9" t="s">
        <v>96</v>
      </c>
      <c r="G8" s="9"/>
    </row>
    <row r="9" customFormat="false" ht="15" hidden="false" customHeight="false" outlineLevel="0" collapsed="false">
      <c r="A9" s="9" t="s">
        <v>221</v>
      </c>
      <c r="B9" s="9" t="s">
        <v>222</v>
      </c>
      <c r="C9" s="9" t="s">
        <v>134</v>
      </c>
      <c r="D9" s="9" t="s">
        <v>96</v>
      </c>
      <c r="E9" s="9" t="s">
        <v>135</v>
      </c>
      <c r="F9" s="9" t="s">
        <v>96</v>
      </c>
      <c r="G9" s="9"/>
    </row>
    <row r="10" customFormat="false" ht="15" hidden="false" customHeight="false" outlineLevel="0" collapsed="false">
      <c r="A10" s="9" t="s">
        <v>223</v>
      </c>
      <c r="B10" s="9" t="s">
        <v>224</v>
      </c>
      <c r="C10" s="9" t="s">
        <v>134</v>
      </c>
      <c r="D10" s="9" t="s">
        <v>96</v>
      </c>
      <c r="E10" s="9" t="s">
        <v>135</v>
      </c>
      <c r="F10" s="9" t="s">
        <v>96</v>
      </c>
      <c r="G10" s="9"/>
    </row>
    <row r="11" customFormat="false" ht="15" hidden="false" customHeight="false" outlineLevel="0" collapsed="false">
      <c r="A11" s="9" t="s">
        <v>75</v>
      </c>
      <c r="B11" s="9" t="s">
        <v>75</v>
      </c>
      <c r="C11" s="9" t="s">
        <v>143</v>
      </c>
      <c r="D11" s="9" t="s">
        <v>96</v>
      </c>
      <c r="E11" s="9" t="s">
        <v>135</v>
      </c>
      <c r="F11" s="9" t="s">
        <v>96</v>
      </c>
      <c r="G11" s="9"/>
    </row>
    <row r="12" customFormat="false" ht="15" hidden="false" customHeight="false" outlineLevel="0" collapsed="false">
      <c r="A12" s="9" t="s">
        <v>142</v>
      </c>
      <c r="B12" s="9" t="s">
        <v>142</v>
      </c>
      <c r="C12" s="9" t="s">
        <v>143</v>
      </c>
      <c r="D12" s="9" t="s">
        <v>96</v>
      </c>
      <c r="E12" s="9" t="s">
        <v>135</v>
      </c>
      <c r="F12" s="9" t="s">
        <v>96</v>
      </c>
      <c r="G12" s="9"/>
    </row>
    <row r="13" customFormat="false" ht="15" hidden="false" customHeight="false" outlineLevel="0" collapsed="false">
      <c r="A13" s="9" t="s">
        <v>141</v>
      </c>
      <c r="B13" s="9" t="s">
        <v>142</v>
      </c>
      <c r="C13" s="9" t="s">
        <v>143</v>
      </c>
      <c r="D13" s="9" t="s">
        <v>96</v>
      </c>
      <c r="E13" s="9" t="s">
        <v>135</v>
      </c>
      <c r="F13" s="9" t="s">
        <v>96</v>
      </c>
      <c r="G13" s="9" t="s">
        <v>225</v>
      </c>
    </row>
    <row r="14" customFormat="false" ht="15" hidden="false" customHeight="false" outlineLevel="0" collapsed="false">
      <c r="A14" s="9" t="s">
        <v>226</v>
      </c>
      <c r="B14" s="9" t="s">
        <v>142</v>
      </c>
      <c r="C14" s="9" t="s">
        <v>143</v>
      </c>
      <c r="D14" s="9" t="s">
        <v>96</v>
      </c>
      <c r="E14" s="9" t="s">
        <v>135</v>
      </c>
      <c r="F14" s="9" t="s">
        <v>96</v>
      </c>
      <c r="G14" s="9" t="s">
        <v>220</v>
      </c>
    </row>
    <row r="15" customFormat="false" ht="15" hidden="false" customHeight="false" outlineLevel="0" collapsed="false">
      <c r="A15" s="9" t="s">
        <v>146</v>
      </c>
      <c r="B15" s="9" t="s">
        <v>74</v>
      </c>
      <c r="C15" s="9" t="s">
        <v>143</v>
      </c>
      <c r="D15" s="9" t="s">
        <v>96</v>
      </c>
      <c r="E15" s="9" t="s">
        <v>135</v>
      </c>
      <c r="F15" s="9" t="s">
        <v>96</v>
      </c>
      <c r="G15" s="9" t="s">
        <v>227</v>
      </c>
    </row>
    <row r="16" customFormat="false" ht="15" hidden="false" customHeight="false" outlineLevel="0" collapsed="false">
      <c r="A16" s="9" t="s">
        <v>228</v>
      </c>
      <c r="B16" s="9" t="s">
        <v>74</v>
      </c>
      <c r="C16" s="9" t="s">
        <v>143</v>
      </c>
      <c r="D16" s="9" t="s">
        <v>96</v>
      </c>
      <c r="E16" s="9" t="s">
        <v>135</v>
      </c>
      <c r="F16" s="9" t="s">
        <v>96</v>
      </c>
      <c r="G16" s="9" t="s">
        <v>220</v>
      </c>
    </row>
    <row r="17" customFormat="false" ht="15" hidden="false" customHeight="false" outlineLevel="0" collapsed="false">
      <c r="A17" s="9" t="s">
        <v>229</v>
      </c>
      <c r="B17" s="9" t="s">
        <v>229</v>
      </c>
      <c r="C17" s="9" t="s">
        <v>143</v>
      </c>
      <c r="D17" s="9" t="s">
        <v>96</v>
      </c>
      <c r="E17" s="9" t="s">
        <v>135</v>
      </c>
      <c r="F17" s="9" t="s">
        <v>96</v>
      </c>
      <c r="G17" s="9"/>
    </row>
    <row r="18" customFormat="false" ht="15" hidden="false" customHeight="false" outlineLevel="0" collapsed="false">
      <c r="A18" s="9" t="s">
        <v>230</v>
      </c>
      <c r="B18" s="9" t="s">
        <v>230</v>
      </c>
      <c r="C18" s="9" t="s">
        <v>143</v>
      </c>
      <c r="D18" s="9" t="s">
        <v>96</v>
      </c>
      <c r="E18" s="9" t="s">
        <v>135</v>
      </c>
      <c r="F18" s="9" t="s">
        <v>96</v>
      </c>
      <c r="G18" s="9"/>
    </row>
    <row r="19" customFormat="false" ht="15" hidden="false" customHeight="false" outlineLevel="0" collapsed="false">
      <c r="A19" s="9" t="s">
        <v>231</v>
      </c>
      <c r="B19" s="9" t="s">
        <v>232</v>
      </c>
      <c r="C19" s="9" t="s">
        <v>143</v>
      </c>
      <c r="D19" s="9" t="s">
        <v>96</v>
      </c>
      <c r="E19" s="9" t="s">
        <v>135</v>
      </c>
      <c r="F19" s="9" t="s">
        <v>99</v>
      </c>
      <c r="G19" s="9"/>
    </row>
    <row r="20" customFormat="false" ht="15" hidden="false" customHeight="false" outlineLevel="0" collapsed="false">
      <c r="A20" s="9" t="s">
        <v>233</v>
      </c>
      <c r="B20" s="9" t="s">
        <v>149</v>
      </c>
      <c r="C20" s="9" t="s">
        <v>71</v>
      </c>
      <c r="D20" s="9" t="s">
        <v>96</v>
      </c>
      <c r="E20" s="9" t="s">
        <v>234</v>
      </c>
      <c r="F20" s="9" t="s">
        <v>96</v>
      </c>
      <c r="G20" s="9"/>
    </row>
    <row r="21" customFormat="false" ht="15" hidden="false" customHeight="false" outlineLevel="0" collapsed="false">
      <c r="A21" s="9" t="s">
        <v>149</v>
      </c>
      <c r="B21" s="9" t="s">
        <v>149</v>
      </c>
      <c r="C21" s="9" t="s">
        <v>71</v>
      </c>
      <c r="D21" s="9" t="s">
        <v>96</v>
      </c>
      <c r="E21" s="9" t="s">
        <v>234</v>
      </c>
      <c r="F21" s="9" t="s">
        <v>96</v>
      </c>
      <c r="G21" s="9" t="s">
        <v>220</v>
      </c>
    </row>
    <row r="22" customFormat="false" ht="15" hidden="false" customHeight="false" outlineLevel="0" collapsed="false">
      <c r="A22" s="9" t="s">
        <v>235</v>
      </c>
      <c r="B22" s="9" t="s">
        <v>149</v>
      </c>
      <c r="C22" s="9" t="s">
        <v>71</v>
      </c>
      <c r="D22" s="9" t="s">
        <v>96</v>
      </c>
      <c r="E22" s="9" t="s">
        <v>234</v>
      </c>
      <c r="F22" s="9" t="s">
        <v>96</v>
      </c>
      <c r="G22" s="9" t="s">
        <v>236</v>
      </c>
    </row>
    <row r="23" customFormat="false" ht="15" hidden="false" customHeight="false" outlineLevel="0" collapsed="false">
      <c r="A23" s="9" t="s">
        <v>152</v>
      </c>
      <c r="B23" s="9" t="s">
        <v>152</v>
      </c>
      <c r="C23" s="9" t="s">
        <v>71</v>
      </c>
      <c r="D23" s="9" t="s">
        <v>96</v>
      </c>
      <c r="E23" s="9" t="s">
        <v>237</v>
      </c>
      <c r="F23" s="9" t="s">
        <v>96</v>
      </c>
      <c r="G23" s="9"/>
    </row>
    <row r="24" customFormat="false" ht="15" hidden="false" customHeight="false" outlineLevel="0" collapsed="false">
      <c r="A24" s="9" t="s">
        <v>238</v>
      </c>
      <c r="B24" s="9" t="s">
        <v>238</v>
      </c>
      <c r="C24" s="9" t="s">
        <v>71</v>
      </c>
      <c r="D24" s="9" t="s">
        <v>96</v>
      </c>
      <c r="E24" s="9" t="s">
        <v>237</v>
      </c>
      <c r="F24" s="9" t="s">
        <v>96</v>
      </c>
      <c r="G24" s="9"/>
    </row>
    <row r="25" customFormat="false" ht="15" hidden="false" customHeight="false" outlineLevel="0" collapsed="false">
      <c r="A25" s="9" t="s">
        <v>239</v>
      </c>
      <c r="B25" s="9" t="s">
        <v>239</v>
      </c>
      <c r="C25" s="9" t="s">
        <v>71</v>
      </c>
      <c r="D25" s="9" t="s">
        <v>96</v>
      </c>
      <c r="E25" s="9" t="s">
        <v>240</v>
      </c>
      <c r="F25" s="9" t="s">
        <v>96</v>
      </c>
      <c r="G25" s="9"/>
    </row>
    <row r="26" customFormat="false" ht="15" hidden="false" customHeight="false" outlineLevel="0" collapsed="false">
      <c r="A26" s="9" t="s">
        <v>241</v>
      </c>
      <c r="B26" s="9" t="s">
        <v>241</v>
      </c>
      <c r="C26" s="9" t="s">
        <v>71</v>
      </c>
      <c r="D26" s="9" t="s">
        <v>96</v>
      </c>
      <c r="E26" s="9" t="s">
        <v>242</v>
      </c>
      <c r="F26" s="9" t="s">
        <v>96</v>
      </c>
      <c r="G26" s="9"/>
    </row>
    <row r="27" customFormat="false" ht="15" hidden="false" customHeight="false" outlineLevel="0" collapsed="false">
      <c r="A27" s="9" t="s">
        <v>243</v>
      </c>
      <c r="B27" s="9" t="s">
        <v>243</v>
      </c>
      <c r="C27" s="9" t="s">
        <v>71</v>
      </c>
      <c r="D27" s="9" t="s">
        <v>96</v>
      </c>
      <c r="E27" s="9" t="s">
        <v>244</v>
      </c>
      <c r="F27" s="9" t="s">
        <v>96</v>
      </c>
      <c r="G27" s="9"/>
    </row>
    <row r="28" customFormat="false" ht="15" hidden="false" customHeight="false" outlineLevel="0" collapsed="false">
      <c r="A28" s="9" t="s">
        <v>245</v>
      </c>
      <c r="B28" s="9" t="s">
        <v>245</v>
      </c>
      <c r="C28" s="9" t="s">
        <v>71</v>
      </c>
      <c r="D28" s="9" t="s">
        <v>96</v>
      </c>
      <c r="E28" s="9" t="s">
        <v>246</v>
      </c>
      <c r="F28" s="9" t="s">
        <v>96</v>
      </c>
      <c r="G28" s="9"/>
    </row>
    <row r="29" customFormat="false" ht="15" hidden="false" customHeight="false" outlineLevel="0" collapsed="false">
      <c r="A29" s="9" t="s">
        <v>247</v>
      </c>
      <c r="B29" s="9" t="s">
        <v>247</v>
      </c>
      <c r="C29" s="9" t="s">
        <v>71</v>
      </c>
      <c r="D29" s="9" t="s">
        <v>96</v>
      </c>
      <c r="E29" s="9" t="s">
        <v>248</v>
      </c>
      <c r="F29" s="9" t="s">
        <v>96</v>
      </c>
      <c r="G29" s="9"/>
    </row>
    <row r="30" customFormat="false" ht="15" hidden="false" customHeight="false" outlineLevel="0" collapsed="false">
      <c r="A30" s="9" t="s">
        <v>249</v>
      </c>
      <c r="B30" s="9" t="s">
        <v>249</v>
      </c>
      <c r="C30" s="9" t="s">
        <v>71</v>
      </c>
      <c r="D30" s="9" t="s">
        <v>96</v>
      </c>
      <c r="E30" s="9" t="s">
        <v>250</v>
      </c>
      <c r="F30" s="9" t="s">
        <v>96</v>
      </c>
      <c r="G30" s="9"/>
    </row>
    <row r="31" customFormat="false" ht="15" hidden="false" customHeight="false" outlineLevel="0" collapsed="false">
      <c r="A31" s="9" t="s">
        <v>251</v>
      </c>
      <c r="B31" s="9" t="s">
        <v>251</v>
      </c>
      <c r="C31" s="9" t="s">
        <v>71</v>
      </c>
      <c r="D31" s="9" t="s">
        <v>96</v>
      </c>
      <c r="E31" s="9" t="s">
        <v>252</v>
      </c>
      <c r="F31" s="9" t="s">
        <v>96</v>
      </c>
      <c r="G31" s="9"/>
    </row>
    <row r="32" customFormat="false" ht="15" hidden="false" customHeight="false" outlineLevel="0" collapsed="false">
      <c r="A32" s="9" t="s">
        <v>253</v>
      </c>
      <c r="B32" s="9" t="s">
        <v>253</v>
      </c>
      <c r="C32" s="9" t="s">
        <v>71</v>
      </c>
      <c r="D32" s="9" t="s">
        <v>96</v>
      </c>
      <c r="E32" s="9" t="s">
        <v>254</v>
      </c>
      <c r="F32" s="9" t="s">
        <v>96</v>
      </c>
      <c r="G32" s="9"/>
    </row>
    <row r="33" customFormat="false" ht="15" hidden="false" customHeight="false" outlineLevel="0" collapsed="false">
      <c r="A33" s="9" t="s">
        <v>255</v>
      </c>
      <c r="B33" s="9" t="s">
        <v>255</v>
      </c>
      <c r="C33" s="9" t="s">
        <v>71</v>
      </c>
      <c r="D33" s="9" t="s">
        <v>96</v>
      </c>
      <c r="E33" s="9" t="s">
        <v>135</v>
      </c>
      <c r="F33" s="9" t="s">
        <v>96</v>
      </c>
      <c r="G33" s="9" t="s">
        <v>256</v>
      </c>
    </row>
    <row r="34" customFormat="false" ht="15" hidden="false" customHeight="false" outlineLevel="0" collapsed="false">
      <c r="A34" s="9" t="s">
        <v>257</v>
      </c>
      <c r="B34" s="9" t="s">
        <v>257</v>
      </c>
      <c r="C34" s="9" t="s">
        <v>71</v>
      </c>
      <c r="D34" s="9" t="s">
        <v>96</v>
      </c>
      <c r="E34" s="9" t="s">
        <v>135</v>
      </c>
      <c r="F34" s="9" t="s">
        <v>96</v>
      </c>
      <c r="G34" s="9" t="s">
        <v>128</v>
      </c>
    </row>
    <row r="35" customFormat="false" ht="15" hidden="false" customHeight="false" outlineLevel="0" collapsed="false">
      <c r="A35" s="9" t="s">
        <v>258</v>
      </c>
      <c r="B35" s="9" t="s">
        <v>258</v>
      </c>
      <c r="C35" s="9" t="s">
        <v>71</v>
      </c>
      <c r="D35" s="9" t="s">
        <v>96</v>
      </c>
      <c r="E35" s="9" t="s">
        <v>135</v>
      </c>
      <c r="F35" s="9" t="s">
        <v>96</v>
      </c>
      <c r="G35" s="9" t="s">
        <v>259</v>
      </c>
    </row>
    <row r="36" customFormat="false" ht="15" hidden="false" customHeight="false" outlineLevel="0" collapsed="false">
      <c r="A36" s="9" t="s">
        <v>260</v>
      </c>
      <c r="B36" s="9" t="s">
        <v>258</v>
      </c>
      <c r="C36" s="9" t="s">
        <v>71</v>
      </c>
      <c r="D36" s="9" t="s">
        <v>96</v>
      </c>
      <c r="E36" s="9" t="s">
        <v>261</v>
      </c>
      <c r="F36" s="9" t="s">
        <v>96</v>
      </c>
      <c r="G36" s="9" t="s">
        <v>220</v>
      </c>
    </row>
    <row r="37" customFormat="false" ht="15" hidden="false" customHeight="false" outlineLevel="0" collapsed="false">
      <c r="A37" s="9" t="s">
        <v>262</v>
      </c>
      <c r="B37" s="9" t="s">
        <v>262</v>
      </c>
      <c r="C37" s="9" t="s">
        <v>69</v>
      </c>
      <c r="D37" s="9" t="s">
        <v>96</v>
      </c>
      <c r="E37" s="9" t="s">
        <v>263</v>
      </c>
      <c r="F37" s="9" t="s">
        <v>96</v>
      </c>
      <c r="G37" s="9"/>
    </row>
    <row r="38" customFormat="false" ht="15" hidden="false" customHeight="false" outlineLevel="0" collapsed="false">
      <c r="A38" s="9" t="s">
        <v>264</v>
      </c>
      <c r="B38" s="9" t="s">
        <v>262</v>
      </c>
      <c r="C38" s="9" t="s">
        <v>69</v>
      </c>
      <c r="D38" s="9" t="s">
        <v>96</v>
      </c>
      <c r="E38" s="9" t="s">
        <v>263</v>
      </c>
      <c r="F38" s="9" t="s">
        <v>96</v>
      </c>
      <c r="G38" s="9" t="s">
        <v>220</v>
      </c>
    </row>
    <row r="39" customFormat="false" ht="15" hidden="false" customHeight="false" outlineLevel="0" collapsed="false">
      <c r="A39" s="9" t="s">
        <v>265</v>
      </c>
      <c r="B39" s="9" t="s">
        <v>262</v>
      </c>
      <c r="C39" s="9" t="s">
        <v>69</v>
      </c>
      <c r="D39" s="9" t="s">
        <v>96</v>
      </c>
      <c r="E39" s="9" t="s">
        <v>263</v>
      </c>
      <c r="F39" s="9" t="s">
        <v>96</v>
      </c>
      <c r="G39" s="9" t="s">
        <v>220</v>
      </c>
    </row>
    <row r="40" customFormat="false" ht="15" hidden="false" customHeight="false" outlineLevel="0" collapsed="false">
      <c r="A40" s="9" t="s">
        <v>158</v>
      </c>
      <c r="B40" s="9" t="s">
        <v>158</v>
      </c>
      <c r="C40" s="9" t="s">
        <v>69</v>
      </c>
      <c r="D40" s="9" t="s">
        <v>96</v>
      </c>
      <c r="E40" s="9" t="s">
        <v>266</v>
      </c>
      <c r="F40" s="9" t="s">
        <v>96</v>
      </c>
      <c r="G40" s="9"/>
    </row>
    <row r="41" customFormat="false" ht="15" hidden="false" customHeight="false" outlineLevel="0" collapsed="false">
      <c r="A41" s="9" t="s">
        <v>267</v>
      </c>
      <c r="B41" s="9" t="s">
        <v>268</v>
      </c>
      <c r="C41" s="9" t="s">
        <v>69</v>
      </c>
      <c r="D41" s="9" t="s">
        <v>96</v>
      </c>
      <c r="E41" s="9" t="s">
        <v>269</v>
      </c>
      <c r="F41" s="9" t="s">
        <v>96</v>
      </c>
      <c r="G41" s="9"/>
    </row>
    <row r="42" customFormat="false" ht="15" hidden="false" customHeight="false" outlineLevel="0" collapsed="false">
      <c r="A42" s="9" t="s">
        <v>270</v>
      </c>
      <c r="B42" s="9" t="s">
        <v>268</v>
      </c>
      <c r="C42" s="9" t="s">
        <v>69</v>
      </c>
      <c r="D42" s="9" t="s">
        <v>96</v>
      </c>
      <c r="E42" s="9" t="s">
        <v>271</v>
      </c>
      <c r="F42" s="9" t="s">
        <v>96</v>
      </c>
      <c r="G42" s="9" t="s">
        <v>220</v>
      </c>
    </row>
    <row r="43" customFormat="false" ht="15" hidden="false" customHeight="false" outlineLevel="0" collapsed="false">
      <c r="A43" s="9" t="s">
        <v>272</v>
      </c>
      <c r="B43" s="9" t="s">
        <v>268</v>
      </c>
      <c r="C43" s="9" t="s">
        <v>69</v>
      </c>
      <c r="D43" s="9" t="s">
        <v>96</v>
      </c>
      <c r="E43" s="9" t="s">
        <v>273</v>
      </c>
      <c r="F43" s="9" t="s">
        <v>96</v>
      </c>
      <c r="G43" s="9" t="s">
        <v>220</v>
      </c>
    </row>
    <row r="44" customFormat="false" ht="15" hidden="false" customHeight="false" outlineLevel="0" collapsed="false">
      <c r="A44" s="9" t="s">
        <v>274</v>
      </c>
      <c r="B44" s="9" t="s">
        <v>274</v>
      </c>
      <c r="C44" s="9" t="s">
        <v>69</v>
      </c>
      <c r="D44" s="9" t="s">
        <v>96</v>
      </c>
      <c r="E44" s="9" t="s">
        <v>275</v>
      </c>
      <c r="F44" s="9" t="s">
        <v>96</v>
      </c>
      <c r="G44" s="9"/>
    </row>
    <row r="45" customFormat="false" ht="15" hidden="false" customHeight="false" outlineLevel="0" collapsed="false">
      <c r="A45" s="9" t="s">
        <v>276</v>
      </c>
      <c r="B45" s="9" t="s">
        <v>276</v>
      </c>
      <c r="C45" s="9" t="s">
        <v>69</v>
      </c>
      <c r="D45" s="9" t="s">
        <v>96</v>
      </c>
      <c r="E45" s="9" t="s">
        <v>277</v>
      </c>
      <c r="F45" s="9" t="s">
        <v>96</v>
      </c>
      <c r="G45" s="9"/>
    </row>
    <row r="46" customFormat="false" ht="15" hidden="false" customHeight="false" outlineLevel="0" collapsed="false">
      <c r="A46" s="9" t="s">
        <v>278</v>
      </c>
      <c r="B46" s="9" t="s">
        <v>276</v>
      </c>
      <c r="C46" s="9" t="s">
        <v>69</v>
      </c>
      <c r="D46" s="9" t="s">
        <v>96</v>
      </c>
      <c r="E46" s="9" t="s">
        <v>277</v>
      </c>
      <c r="F46" s="9" t="s">
        <v>96</v>
      </c>
      <c r="G46" s="9" t="s">
        <v>220</v>
      </c>
    </row>
    <row r="47" customFormat="false" ht="15" hidden="false" customHeight="false" outlineLevel="0" collapsed="false">
      <c r="A47" s="9" t="s">
        <v>279</v>
      </c>
      <c r="B47" s="9" t="s">
        <v>279</v>
      </c>
      <c r="C47" s="9" t="s">
        <v>69</v>
      </c>
      <c r="D47" s="9" t="s">
        <v>96</v>
      </c>
      <c r="E47" s="9" t="s">
        <v>280</v>
      </c>
      <c r="F47" s="9" t="s">
        <v>99</v>
      </c>
      <c r="G47" s="9"/>
    </row>
    <row r="48" customFormat="false" ht="15" hidden="false" customHeight="false" outlineLevel="0" collapsed="false">
      <c r="A48" s="9" t="s">
        <v>281</v>
      </c>
      <c r="B48" s="9" t="s">
        <v>282</v>
      </c>
      <c r="C48" s="9" t="s">
        <v>69</v>
      </c>
      <c r="D48" s="9" t="s">
        <v>96</v>
      </c>
      <c r="E48" s="9" t="s">
        <v>283</v>
      </c>
      <c r="F48" s="9" t="s">
        <v>96</v>
      </c>
      <c r="G48" s="9"/>
    </row>
    <row r="49" customFormat="false" ht="15" hidden="false" customHeight="false" outlineLevel="0" collapsed="false">
      <c r="A49" s="9" t="s">
        <v>284</v>
      </c>
      <c r="B49" s="9" t="s">
        <v>282</v>
      </c>
      <c r="C49" s="9" t="s">
        <v>69</v>
      </c>
      <c r="D49" s="9" t="s">
        <v>96</v>
      </c>
      <c r="E49" s="9" t="s">
        <v>285</v>
      </c>
      <c r="F49" s="9" t="s">
        <v>96</v>
      </c>
      <c r="G49" s="9"/>
    </row>
    <row r="50" customFormat="false" ht="15" hidden="false" customHeight="false" outlineLevel="0" collapsed="false">
      <c r="A50" s="9" t="s">
        <v>286</v>
      </c>
      <c r="B50" s="9" t="s">
        <v>286</v>
      </c>
      <c r="C50" s="9" t="s">
        <v>69</v>
      </c>
      <c r="D50" s="9" t="s">
        <v>96</v>
      </c>
      <c r="E50" s="9" t="s">
        <v>287</v>
      </c>
      <c r="F50" s="9" t="s">
        <v>96</v>
      </c>
      <c r="G50" s="9"/>
    </row>
    <row r="51" customFormat="false" ht="15" hidden="false" customHeight="false" outlineLevel="0" collapsed="false">
      <c r="A51" s="9" t="s">
        <v>288</v>
      </c>
      <c r="B51" s="9" t="s">
        <v>286</v>
      </c>
      <c r="C51" s="9" t="s">
        <v>69</v>
      </c>
      <c r="D51" s="9" t="s">
        <v>96</v>
      </c>
      <c r="E51" s="9" t="s">
        <v>289</v>
      </c>
      <c r="F51" s="9" t="s">
        <v>96</v>
      </c>
      <c r="G51" s="9" t="s">
        <v>220</v>
      </c>
    </row>
    <row r="52" customFormat="false" ht="15" hidden="false" customHeight="false" outlineLevel="0" collapsed="false">
      <c r="A52" s="9" t="s">
        <v>290</v>
      </c>
      <c r="B52" s="9" t="s">
        <v>290</v>
      </c>
      <c r="C52" s="9" t="s">
        <v>291</v>
      </c>
      <c r="D52" s="9" t="s">
        <v>96</v>
      </c>
      <c r="E52" s="9" t="s">
        <v>292</v>
      </c>
      <c r="F52" s="9" t="s">
        <v>99</v>
      </c>
      <c r="G52" s="9" t="s">
        <v>293</v>
      </c>
    </row>
    <row r="53" customFormat="false" ht="15" hidden="false" customHeight="false" outlineLevel="0" collapsed="false">
      <c r="A53" s="9" t="s">
        <v>294</v>
      </c>
      <c r="B53" s="9" t="s">
        <v>295</v>
      </c>
      <c r="C53" s="9" t="s">
        <v>69</v>
      </c>
      <c r="D53" s="9" t="s">
        <v>96</v>
      </c>
      <c r="E53" s="9" t="s">
        <v>135</v>
      </c>
      <c r="F53" s="9" t="s">
        <v>96</v>
      </c>
      <c r="G53" s="9"/>
    </row>
    <row r="54" customFormat="false" ht="15" hidden="false" customHeight="false" outlineLevel="0" collapsed="false">
      <c r="A54" s="9" t="s">
        <v>296</v>
      </c>
      <c r="B54" s="9" t="s">
        <v>296</v>
      </c>
      <c r="C54" s="9" t="s">
        <v>69</v>
      </c>
      <c r="D54" s="9" t="s">
        <v>96</v>
      </c>
      <c r="E54" s="9" t="s">
        <v>297</v>
      </c>
      <c r="F54" s="9" t="s">
        <v>99</v>
      </c>
      <c r="G54" s="9"/>
    </row>
    <row r="55" customFormat="false" ht="15" hidden="false" customHeight="false" outlineLevel="0" collapsed="false">
      <c r="A55" s="9" t="s">
        <v>298</v>
      </c>
      <c r="B55" s="9" t="s">
        <v>299</v>
      </c>
      <c r="C55" s="9" t="s">
        <v>72</v>
      </c>
      <c r="D55" s="9" t="s">
        <v>96</v>
      </c>
      <c r="E55" s="9" t="s">
        <v>300</v>
      </c>
      <c r="F55" s="9" t="s">
        <v>96</v>
      </c>
      <c r="G55" s="9"/>
    </row>
    <row r="56" customFormat="false" ht="15" hidden="false" customHeight="false" outlineLevel="0" collapsed="false">
      <c r="A56" s="9" t="s">
        <v>299</v>
      </c>
      <c r="B56" s="9" t="s">
        <v>299</v>
      </c>
      <c r="C56" s="9" t="s">
        <v>72</v>
      </c>
      <c r="D56" s="9" t="s">
        <v>96</v>
      </c>
      <c r="E56" s="9" t="s">
        <v>301</v>
      </c>
      <c r="F56" s="9" t="s">
        <v>96</v>
      </c>
      <c r="G56" s="9" t="s">
        <v>220</v>
      </c>
    </row>
    <row r="57" customFormat="false" ht="15" hidden="false" customHeight="false" outlineLevel="0" collapsed="false">
      <c r="A57" s="9" t="s">
        <v>302</v>
      </c>
      <c r="B57" s="9" t="s">
        <v>303</v>
      </c>
      <c r="C57" s="9" t="s">
        <v>72</v>
      </c>
      <c r="D57" s="9" t="s">
        <v>96</v>
      </c>
      <c r="E57" s="9" t="s">
        <v>273</v>
      </c>
      <c r="F57" s="9" t="s">
        <v>96</v>
      </c>
      <c r="G57" s="9"/>
    </row>
    <row r="58" customFormat="false" ht="15" hidden="false" customHeight="false" outlineLevel="0" collapsed="false">
      <c r="A58" s="9" t="s">
        <v>304</v>
      </c>
      <c r="B58" s="9" t="s">
        <v>305</v>
      </c>
      <c r="C58" s="9" t="s">
        <v>72</v>
      </c>
      <c r="D58" s="9" t="s">
        <v>96</v>
      </c>
      <c r="E58" s="9" t="s">
        <v>135</v>
      </c>
      <c r="F58" s="9" t="s">
        <v>96</v>
      </c>
      <c r="G58" s="9"/>
    </row>
    <row r="59" customFormat="false" ht="15" hidden="false" customHeight="false" outlineLevel="0" collapsed="false">
      <c r="A59" s="9" t="s">
        <v>306</v>
      </c>
      <c r="B59" s="9" t="s">
        <v>155</v>
      </c>
      <c r="C59" s="9" t="s">
        <v>72</v>
      </c>
      <c r="D59" s="9" t="s">
        <v>96</v>
      </c>
      <c r="E59" s="9" t="s">
        <v>135</v>
      </c>
      <c r="F59" s="9" t="s">
        <v>96</v>
      </c>
      <c r="G59" s="9"/>
    </row>
    <row r="60" customFormat="false" ht="15" hidden="false" customHeight="false" outlineLevel="0" collapsed="false">
      <c r="A60" s="9" t="s">
        <v>307</v>
      </c>
      <c r="B60" s="9" t="s">
        <v>155</v>
      </c>
      <c r="C60" s="9" t="s">
        <v>72</v>
      </c>
      <c r="D60" s="9" t="s">
        <v>96</v>
      </c>
      <c r="E60" s="9" t="s">
        <v>135</v>
      </c>
      <c r="F60" s="9" t="s">
        <v>96</v>
      </c>
      <c r="G60" s="9" t="s">
        <v>220</v>
      </c>
    </row>
    <row r="61" customFormat="false" ht="15" hidden="false" customHeight="false" outlineLevel="0" collapsed="false">
      <c r="A61" s="9" t="s">
        <v>308</v>
      </c>
      <c r="B61" s="9" t="s">
        <v>308</v>
      </c>
      <c r="C61" s="9" t="s">
        <v>309</v>
      </c>
      <c r="D61" s="9" t="s">
        <v>99</v>
      </c>
      <c r="E61" s="9" t="s">
        <v>135</v>
      </c>
      <c r="F61" s="9" t="s">
        <v>99</v>
      </c>
      <c r="G61" s="9" t="s">
        <v>310</v>
      </c>
    </row>
    <row r="62" customFormat="false" ht="15" hidden="false" customHeight="false" outlineLevel="0" collapsed="false">
      <c r="A62" s="9" t="s">
        <v>311</v>
      </c>
      <c r="B62" s="9" t="s">
        <v>308</v>
      </c>
      <c r="C62" s="9" t="s">
        <v>309</v>
      </c>
      <c r="D62" s="9" t="s">
        <v>99</v>
      </c>
      <c r="E62" s="9" t="s">
        <v>135</v>
      </c>
      <c r="F62" s="9" t="s">
        <v>99</v>
      </c>
      <c r="G62" s="9" t="s">
        <v>220</v>
      </c>
    </row>
    <row r="63" customFormat="false" ht="15" hidden="false" customHeight="false" outlineLevel="0" collapsed="false">
      <c r="A63" s="9" t="s">
        <v>312</v>
      </c>
      <c r="B63" s="9" t="s">
        <v>312</v>
      </c>
      <c r="C63" s="9" t="s">
        <v>309</v>
      </c>
      <c r="D63" s="9" t="s">
        <v>99</v>
      </c>
      <c r="E63" s="9" t="s">
        <v>135</v>
      </c>
      <c r="F63" s="9" t="s">
        <v>99</v>
      </c>
      <c r="G63" s="9" t="s">
        <v>310</v>
      </c>
    </row>
    <row r="64" customFormat="false" ht="15" hidden="false" customHeight="false" outlineLevel="0" collapsed="false">
      <c r="A64" s="9" t="s">
        <v>313</v>
      </c>
      <c r="B64" s="9" t="s">
        <v>312</v>
      </c>
      <c r="C64" s="9" t="s">
        <v>309</v>
      </c>
      <c r="D64" s="9" t="s">
        <v>99</v>
      </c>
      <c r="E64" s="9" t="s">
        <v>135</v>
      </c>
      <c r="F64" s="9" t="s">
        <v>99</v>
      </c>
      <c r="G64" s="9" t="s">
        <v>220</v>
      </c>
    </row>
    <row r="65" customFormat="false" ht="15" hidden="false" customHeight="false" outlineLevel="0" collapsed="false">
      <c r="A65" s="9" t="s">
        <v>314</v>
      </c>
      <c r="B65" s="9" t="s">
        <v>314</v>
      </c>
      <c r="C65" s="9" t="s">
        <v>309</v>
      </c>
      <c r="D65" s="9" t="s">
        <v>99</v>
      </c>
      <c r="E65" s="9" t="s">
        <v>135</v>
      </c>
      <c r="F65" s="9" t="s">
        <v>99</v>
      </c>
      <c r="G65" s="9" t="s">
        <v>310</v>
      </c>
    </row>
    <row r="66" customFormat="false" ht="15" hidden="false" customHeight="false" outlineLevel="0" collapsed="false">
      <c r="A66" s="9" t="s">
        <v>315</v>
      </c>
      <c r="B66" s="9" t="s">
        <v>315</v>
      </c>
      <c r="C66" s="9" t="s">
        <v>309</v>
      </c>
      <c r="D66" s="9" t="s">
        <v>99</v>
      </c>
      <c r="E66" s="9" t="s">
        <v>135</v>
      </c>
      <c r="F66" s="9" t="s">
        <v>99</v>
      </c>
      <c r="G66" s="9" t="s">
        <v>310</v>
      </c>
    </row>
    <row r="67" customFormat="false" ht="15" hidden="false" customHeight="false" outlineLevel="0" collapsed="false">
      <c r="A67" s="9" t="s">
        <v>316</v>
      </c>
      <c r="B67" s="9" t="s">
        <v>315</v>
      </c>
      <c r="C67" s="9" t="s">
        <v>309</v>
      </c>
      <c r="D67" s="9" t="s">
        <v>99</v>
      </c>
      <c r="E67" s="9" t="s">
        <v>135</v>
      </c>
      <c r="F67" s="9" t="s">
        <v>99</v>
      </c>
      <c r="G67" s="9" t="s">
        <v>220</v>
      </c>
    </row>
    <row r="68" customFormat="false" ht="15" hidden="false" customHeight="false" outlineLevel="0" collapsed="false">
      <c r="A68" s="9" t="s">
        <v>317</v>
      </c>
      <c r="B68" s="9" t="s">
        <v>318</v>
      </c>
      <c r="C68" s="9" t="s">
        <v>309</v>
      </c>
      <c r="D68" s="9" t="s">
        <v>99</v>
      </c>
      <c r="E68" s="9" t="s">
        <v>135</v>
      </c>
      <c r="F68" s="9" t="s">
        <v>99</v>
      </c>
      <c r="G68" s="9" t="s">
        <v>310</v>
      </c>
    </row>
    <row r="69" customFormat="false" ht="15" hidden="false" customHeight="false" outlineLevel="0" collapsed="false">
      <c r="A69" s="9" t="s">
        <v>319</v>
      </c>
      <c r="B69" s="9" t="s">
        <v>318</v>
      </c>
      <c r="C69" s="9" t="s">
        <v>309</v>
      </c>
      <c r="D69" s="9" t="s">
        <v>99</v>
      </c>
      <c r="E69" s="9" t="s">
        <v>135</v>
      </c>
      <c r="F69" s="9" t="s">
        <v>99</v>
      </c>
      <c r="G69" s="9" t="s">
        <v>220</v>
      </c>
    </row>
    <row r="70" customFormat="false" ht="15" hidden="false" customHeight="false" outlineLevel="0" collapsed="false">
      <c r="A70" s="9" t="s">
        <v>320</v>
      </c>
      <c r="B70" s="9" t="s">
        <v>320</v>
      </c>
      <c r="C70" s="9" t="s">
        <v>309</v>
      </c>
      <c r="D70" s="9" t="s">
        <v>99</v>
      </c>
      <c r="E70" s="9" t="s">
        <v>135</v>
      </c>
      <c r="F70" s="9" t="s">
        <v>99</v>
      </c>
      <c r="G70" s="9"/>
    </row>
    <row r="71" customFormat="false" ht="15" hidden="false" customHeight="false" outlineLevel="0" collapsed="false">
      <c r="A71" s="9" t="s">
        <v>321</v>
      </c>
      <c r="B71" s="9" t="s">
        <v>321</v>
      </c>
      <c r="C71" s="9" t="s">
        <v>309</v>
      </c>
      <c r="D71" s="9" t="s">
        <v>99</v>
      </c>
      <c r="E71" s="9" t="s">
        <v>135</v>
      </c>
      <c r="F71" s="9" t="s">
        <v>99</v>
      </c>
      <c r="G71" s="9"/>
    </row>
    <row r="72" customFormat="false" ht="15" hidden="false" customHeight="false" outlineLevel="0" collapsed="false">
      <c r="A72" s="9" t="s">
        <v>322</v>
      </c>
      <c r="B72" s="9" t="s">
        <v>322</v>
      </c>
      <c r="C72" s="9" t="s">
        <v>323</v>
      </c>
      <c r="D72" s="9" t="s">
        <v>99</v>
      </c>
      <c r="E72" s="9" t="s">
        <v>135</v>
      </c>
      <c r="F72" s="9" t="s">
        <v>99</v>
      </c>
      <c r="G72" s="9" t="s">
        <v>324</v>
      </c>
    </row>
    <row r="73" customFormat="false" ht="15" hidden="false" customHeight="false" outlineLevel="0" collapsed="false">
      <c r="A73" s="9" t="s">
        <v>325</v>
      </c>
      <c r="B73" s="9" t="s">
        <v>325</v>
      </c>
      <c r="C73" s="9" t="s">
        <v>323</v>
      </c>
      <c r="D73" s="9" t="s">
        <v>99</v>
      </c>
      <c r="E73" s="9" t="s">
        <v>135</v>
      </c>
      <c r="F73" s="9" t="s">
        <v>99</v>
      </c>
      <c r="G73" s="9" t="s">
        <v>324</v>
      </c>
    </row>
    <row r="74" customFormat="false" ht="15" hidden="false" customHeight="false" outlineLevel="0" collapsed="false">
      <c r="A74" s="9" t="s">
        <v>326</v>
      </c>
      <c r="B74" s="9" t="s">
        <v>326</v>
      </c>
      <c r="C74" s="9" t="s">
        <v>323</v>
      </c>
      <c r="D74" s="9" t="s">
        <v>99</v>
      </c>
      <c r="E74" s="9" t="s">
        <v>135</v>
      </c>
      <c r="F74" s="9" t="s">
        <v>99</v>
      </c>
      <c r="G74" s="9" t="s">
        <v>324</v>
      </c>
    </row>
    <row r="75" customFormat="false" ht="15" hidden="false" customHeight="false" outlineLevel="0" collapsed="false">
      <c r="A75" s="9" t="s">
        <v>327</v>
      </c>
      <c r="B75" s="9" t="s">
        <v>327</v>
      </c>
      <c r="C75" s="9" t="s">
        <v>323</v>
      </c>
      <c r="D75" s="9" t="s">
        <v>99</v>
      </c>
      <c r="E75" s="9" t="s">
        <v>135</v>
      </c>
      <c r="F75" s="9" t="s">
        <v>99</v>
      </c>
      <c r="G75" s="9" t="s">
        <v>328</v>
      </c>
    </row>
    <row r="76" customFormat="false" ht="15" hidden="false" customHeight="false" outlineLevel="0" collapsed="false">
      <c r="A76" s="9" t="s">
        <v>329</v>
      </c>
      <c r="B76" s="9" t="s">
        <v>330</v>
      </c>
      <c r="C76" s="9" t="s">
        <v>323</v>
      </c>
      <c r="D76" s="9" t="s">
        <v>99</v>
      </c>
      <c r="E76" s="9" t="s">
        <v>135</v>
      </c>
      <c r="F76" s="9" t="s">
        <v>99</v>
      </c>
      <c r="G76" s="9" t="s">
        <v>324</v>
      </c>
    </row>
    <row r="77" customFormat="false" ht="15" hidden="false" customHeight="false" outlineLevel="0" collapsed="false">
      <c r="A77" s="9" t="s">
        <v>331</v>
      </c>
      <c r="B77" s="9" t="s">
        <v>331</v>
      </c>
      <c r="C77" s="9" t="s">
        <v>323</v>
      </c>
      <c r="D77" s="9" t="s">
        <v>99</v>
      </c>
      <c r="E77" s="9" t="s">
        <v>135</v>
      </c>
      <c r="F77" s="9" t="s">
        <v>99</v>
      </c>
      <c r="G77" s="9" t="s">
        <v>324</v>
      </c>
    </row>
  </sheetData>
  <autoFilter ref="A3:G500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50"/>
  </cols>
  <sheetData>
    <row r="1" customFormat="false" ht="21.75" hidden="false" customHeight="true" outlineLevel="0" collapsed="false">
      <c r="A1" s="7" t="s">
        <v>332</v>
      </c>
      <c r="B1" s="7"/>
      <c r="C1" s="7"/>
      <c r="D1" s="7"/>
      <c r="E1" s="7"/>
      <c r="F1" s="7"/>
      <c r="G1" s="7"/>
      <c r="H1" s="7"/>
      <c r="I1" s="7"/>
    </row>
    <row r="3" customFormat="false" ht="30" hidden="false" customHeight="true" outlineLevel="0" collapsed="false">
      <c r="A3" s="5" t="s">
        <v>333</v>
      </c>
      <c r="B3" s="5" t="s">
        <v>334</v>
      </c>
      <c r="C3" s="5" t="s">
        <v>165</v>
      </c>
      <c r="D3" s="5" t="s">
        <v>335</v>
      </c>
      <c r="E3" s="5" t="s">
        <v>336</v>
      </c>
      <c r="F3" s="5" t="s">
        <v>337</v>
      </c>
      <c r="G3" s="5" t="s">
        <v>338</v>
      </c>
      <c r="H3" s="5" t="s">
        <v>339</v>
      </c>
      <c r="I3" s="5" t="s">
        <v>340</v>
      </c>
    </row>
    <row r="4" customFormat="false" ht="15" hidden="false" customHeight="false" outlineLevel="0" collapsed="false">
      <c r="A4" s="9" t="s">
        <v>341</v>
      </c>
      <c r="B4" s="9" t="s">
        <v>342</v>
      </c>
      <c r="C4" s="9" t="s">
        <v>135</v>
      </c>
      <c r="D4" s="9" t="s">
        <v>343</v>
      </c>
      <c r="E4" s="9" t="s">
        <v>344</v>
      </c>
      <c r="F4" s="9" t="s">
        <v>122</v>
      </c>
      <c r="G4" s="9" t="s">
        <v>345</v>
      </c>
      <c r="H4" s="9" t="s">
        <v>99</v>
      </c>
      <c r="I4" s="9" t="s">
        <v>346</v>
      </c>
    </row>
    <row r="5" customFormat="false" ht="15" hidden="false" customHeight="false" outlineLevel="0" collapsed="false">
      <c r="A5" s="9" t="s">
        <v>347</v>
      </c>
      <c r="B5" s="9" t="s">
        <v>200</v>
      </c>
      <c r="C5" s="9" t="s">
        <v>348</v>
      </c>
      <c r="D5" s="9" t="s">
        <v>349</v>
      </c>
      <c r="E5" s="9" t="s">
        <v>350</v>
      </c>
      <c r="F5" s="9" t="s">
        <v>122</v>
      </c>
      <c r="G5" s="9" t="s">
        <v>351</v>
      </c>
      <c r="H5" s="9" t="s">
        <v>99</v>
      </c>
      <c r="I5" s="9" t="s">
        <v>352</v>
      </c>
    </row>
    <row r="6" customFormat="false" ht="23.85" hidden="false" customHeight="false" outlineLevel="0" collapsed="false">
      <c r="A6" s="9" t="s">
        <v>353</v>
      </c>
      <c r="B6" s="9" t="s">
        <v>354</v>
      </c>
      <c r="C6" s="9" t="s">
        <v>355</v>
      </c>
      <c r="D6" s="9" t="s">
        <v>349</v>
      </c>
      <c r="E6" s="9" t="s">
        <v>356</v>
      </c>
      <c r="F6" s="9" t="s">
        <v>122</v>
      </c>
      <c r="G6" s="9" t="s">
        <v>351</v>
      </c>
      <c r="H6" s="9" t="s">
        <v>357</v>
      </c>
      <c r="I6" s="9" t="s">
        <v>358</v>
      </c>
    </row>
    <row r="7" customFormat="false" ht="15" hidden="false" customHeight="false" outlineLevel="0" collapsed="false">
      <c r="A7" s="9" t="s">
        <v>359</v>
      </c>
      <c r="B7" s="9" t="s">
        <v>207</v>
      </c>
      <c r="C7" s="9" t="s">
        <v>360</v>
      </c>
      <c r="D7" s="9" t="s">
        <v>361</v>
      </c>
      <c r="E7" s="9" t="s">
        <v>362</v>
      </c>
      <c r="F7" s="9" t="s">
        <v>363</v>
      </c>
      <c r="G7" s="9" t="s">
        <v>351</v>
      </c>
      <c r="H7" s="9" t="s">
        <v>99</v>
      </c>
      <c r="I7" s="9" t="s">
        <v>364</v>
      </c>
    </row>
    <row r="8" customFormat="false" ht="15" hidden="false" customHeight="false" outlineLevel="0" collapsed="false">
      <c r="A8" s="9" t="s">
        <v>365</v>
      </c>
      <c r="B8" s="9" t="s">
        <v>366</v>
      </c>
      <c r="C8" s="9" t="s">
        <v>367</v>
      </c>
      <c r="D8" s="9" t="s">
        <v>361</v>
      </c>
      <c r="E8" s="9" t="s">
        <v>368</v>
      </c>
      <c r="F8" s="9" t="s">
        <v>122</v>
      </c>
      <c r="G8" s="9" t="s">
        <v>351</v>
      </c>
      <c r="H8" s="9" t="s">
        <v>99</v>
      </c>
      <c r="I8" s="9"/>
    </row>
    <row r="9" customFormat="false" ht="15" hidden="false" customHeight="false" outlineLevel="0" collapsed="false">
      <c r="A9" s="9" t="s">
        <v>369</v>
      </c>
      <c r="B9" s="9" t="s">
        <v>370</v>
      </c>
      <c r="C9" s="9" t="s">
        <v>371</v>
      </c>
      <c r="D9" s="9" t="s">
        <v>372</v>
      </c>
      <c r="E9" s="9" t="s">
        <v>373</v>
      </c>
      <c r="F9" s="9" t="s">
        <v>122</v>
      </c>
      <c r="G9" s="9" t="s">
        <v>351</v>
      </c>
      <c r="H9" s="9" t="s">
        <v>99</v>
      </c>
      <c r="I9" s="9"/>
    </row>
    <row r="10" customFormat="false" ht="23.85" hidden="false" customHeight="false" outlineLevel="0" collapsed="false">
      <c r="A10" s="9" t="s">
        <v>374</v>
      </c>
      <c r="B10" s="9" t="s">
        <v>375</v>
      </c>
      <c r="C10" s="9" t="s">
        <v>376</v>
      </c>
      <c r="D10" s="9" t="s">
        <v>377</v>
      </c>
      <c r="E10" s="9" t="s">
        <v>378</v>
      </c>
      <c r="F10" s="9" t="s">
        <v>379</v>
      </c>
      <c r="G10" s="9" t="s">
        <v>380</v>
      </c>
      <c r="H10" s="9" t="s">
        <v>99</v>
      </c>
      <c r="I10" s="9" t="s">
        <v>381</v>
      </c>
    </row>
    <row r="11" customFormat="false" ht="15" hidden="false" customHeight="false" outlineLevel="0" collapsed="false">
      <c r="A11" s="9" t="s">
        <v>382</v>
      </c>
      <c r="B11" s="9" t="s">
        <v>383</v>
      </c>
      <c r="C11" s="9" t="s">
        <v>384</v>
      </c>
      <c r="D11" s="9" t="s">
        <v>385</v>
      </c>
      <c r="E11" s="9" t="s">
        <v>386</v>
      </c>
      <c r="F11" s="9" t="s">
        <v>387</v>
      </c>
      <c r="G11" s="9" t="s">
        <v>380</v>
      </c>
      <c r="H11" s="9" t="s">
        <v>388</v>
      </c>
      <c r="I11" s="9" t="s">
        <v>389</v>
      </c>
    </row>
    <row r="12" customFormat="false" ht="15" hidden="false" customHeight="false" outlineLevel="0" collapsed="false">
      <c r="A12" s="9" t="s">
        <v>390</v>
      </c>
      <c r="B12" s="9" t="s">
        <v>391</v>
      </c>
      <c r="C12" s="9" t="s">
        <v>392</v>
      </c>
      <c r="D12" s="9" t="s">
        <v>393</v>
      </c>
      <c r="E12" s="9" t="s">
        <v>394</v>
      </c>
      <c r="F12" s="9" t="s">
        <v>395</v>
      </c>
      <c r="G12" s="9" t="s">
        <v>345</v>
      </c>
      <c r="H12" s="9" t="s">
        <v>396</v>
      </c>
      <c r="I12" s="9" t="s">
        <v>397</v>
      </c>
    </row>
    <row r="13" customFormat="false" ht="23.85" hidden="false" customHeight="false" outlineLevel="0" collapsed="false">
      <c r="A13" s="9" t="s">
        <v>398</v>
      </c>
      <c r="B13" s="9" t="s">
        <v>399</v>
      </c>
      <c r="C13" s="9" t="s">
        <v>400</v>
      </c>
      <c r="D13" s="9" t="s">
        <v>401</v>
      </c>
      <c r="E13" s="9" t="s">
        <v>402</v>
      </c>
      <c r="F13" s="9" t="s">
        <v>395</v>
      </c>
      <c r="G13" s="9" t="s">
        <v>351</v>
      </c>
      <c r="H13" s="9" t="s">
        <v>403</v>
      </c>
      <c r="I13" s="9" t="s">
        <v>404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24" hidden="false" customHeight="true" outlineLevel="0" collapsed="false">
      <c r="A1" s="7" t="s">
        <v>405</v>
      </c>
      <c r="B1" s="7"/>
      <c r="C1" s="7"/>
    </row>
    <row r="3" customFormat="false" ht="27.75" hidden="false" customHeight="true" outlineLevel="0" collapsed="false">
      <c r="A3" s="5" t="s">
        <v>406</v>
      </c>
      <c r="B3" s="5" t="s">
        <v>407</v>
      </c>
      <c r="C3" s="5" t="s">
        <v>408</v>
      </c>
    </row>
    <row r="4" customFormat="false" ht="15" hidden="false" customHeight="false" outlineLevel="0" collapsed="false">
      <c r="A4" s="6" t="s">
        <v>409</v>
      </c>
      <c r="B4" s="6" t="n">
        <f aca="false">COUNTA(04_Кандидаты!A4:A2000)</f>
        <v>4</v>
      </c>
      <c r="C4" s="6" t="s">
        <v>410</v>
      </c>
    </row>
    <row r="5" customFormat="false" ht="15" hidden="false" customHeight="false" outlineLevel="0" collapsed="false">
      <c r="A5" s="6" t="s">
        <v>411</v>
      </c>
      <c r="B5" s="6" t="n">
        <f aca="false">COUNTIF(04_Кандидаты!G4:G2000,"Включён")</f>
        <v>1</v>
      </c>
      <c r="C5" s="6" t="s">
        <v>412</v>
      </c>
    </row>
    <row r="6" customFormat="false" ht="15" hidden="false" customHeight="false" outlineLevel="0" collapsed="false">
      <c r="A6" s="6" t="s">
        <v>413</v>
      </c>
      <c r="B6" s="6" t="n">
        <f aca="false">COUNTIF(04_Кандидаты!G4:G2000,"Исключён")</f>
        <v>1</v>
      </c>
      <c r="C6" s="6" t="s">
        <v>414</v>
      </c>
    </row>
    <row r="7" customFormat="false" ht="15" hidden="false" customHeight="false" outlineLevel="0" collapsed="false">
      <c r="A7" s="6" t="s">
        <v>415</v>
      </c>
      <c r="B7" s="6" t="n">
        <f aca="false">COUNTIF(04_Кандидаты!G4:G2000,"Требует проверки")</f>
        <v>1</v>
      </c>
      <c r="C7" s="6" t="s">
        <v>416</v>
      </c>
    </row>
    <row r="8" customFormat="false" ht="15" hidden="false" customHeight="false" outlineLevel="0" collapsed="false">
      <c r="A8" s="6" t="s">
        <v>417</v>
      </c>
      <c r="B8" s="6" t="n">
        <f aca="false">COUNTA(01_Клиники!A4:A300)</f>
        <v>3</v>
      </c>
      <c r="C8" s="6" t="s">
        <v>418</v>
      </c>
    </row>
    <row r="9" customFormat="false" ht="15" hidden="false" customHeight="false" outlineLevel="0" collapsed="false">
      <c r="A9" s="6" t="s">
        <v>419</v>
      </c>
      <c r="B9" s="6" t="n">
        <f aca="false">COUNTIF(01_Клиники!AG4:AG300,"A")</f>
        <v>0</v>
      </c>
      <c r="C9" s="6" t="s">
        <v>420</v>
      </c>
    </row>
    <row r="10" customFormat="false" ht="15" hidden="false" customHeight="false" outlineLevel="0" collapsed="false">
      <c r="A10" s="6" t="s">
        <v>421</v>
      </c>
      <c r="B10" s="6" t="n">
        <f aca="false">COUNTIF(01_Клиники!G4:G300,"Уточнить")</f>
        <v>1</v>
      </c>
      <c r="C10" s="6" t="s">
        <v>422</v>
      </c>
    </row>
    <row r="11" customFormat="false" ht="15" hidden="false" customHeight="false" outlineLevel="0" collapsed="false">
      <c r="A11" s="6" t="s">
        <v>423</v>
      </c>
      <c r="B11" s="6" t="n">
        <f aca="false">COUNTIF(01_Клиники!I4:I300,"Тип 1")</f>
        <v>2</v>
      </c>
      <c r="C11" s="6" t="s">
        <v>424</v>
      </c>
    </row>
    <row r="12" customFormat="false" ht="15" hidden="false" customHeight="false" outlineLevel="0" collapsed="false">
      <c r="A12" s="6" t="s">
        <v>425</v>
      </c>
      <c r="B12" s="6" t="n">
        <f aca="false">COUNTIF(01_Клиники!I4:I300,"Тип 2")</f>
        <v>1</v>
      </c>
      <c r="C12" s="6" t="s">
        <v>426</v>
      </c>
    </row>
    <row r="13" customFormat="false" ht="15" hidden="false" customHeight="false" outlineLevel="0" collapsed="false">
      <c r="A13" s="6" t="s">
        <v>427</v>
      </c>
      <c r="B13" s="6" t="n">
        <f aca="false">COUNTIF(01_Клиники!I4:I300,"Тип 3")</f>
        <v>0</v>
      </c>
      <c r="C13" s="6" t="s">
        <v>428</v>
      </c>
    </row>
    <row r="14" customFormat="false" ht="15" hidden="false" customHeight="false" outlineLevel="0" collapsed="false">
      <c r="A14" s="6" t="s">
        <v>429</v>
      </c>
      <c r="B14" s="6" t="n">
        <f aca="false">COUNTIF(01_Клиники!I4:I300,"Не классифицировано")</f>
        <v>0</v>
      </c>
      <c r="C14" s="6" t="s">
        <v>430</v>
      </c>
    </row>
    <row r="15" customFormat="false" ht="15" hidden="false" customHeight="false" outlineLevel="0" collapsed="false">
      <c r="A15" s="6" t="s">
        <v>431</v>
      </c>
      <c r="B15" s="13" t="n">
        <f aca="false">IFERROR(B6/B2,0)</f>
        <v>0</v>
      </c>
      <c r="C15" s="6" t="s">
        <v>432</v>
      </c>
    </row>
    <row r="17" customFormat="false" ht="15" hidden="false" customHeight="false" outlineLevel="0" collapsed="false">
      <c r="A17" s="14" t="s">
        <v>433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2026-08-23T15:46:05Z</dcterms:created>
  <dc:creator>openpyxl</dc:creator>
  <dc:description/>
  <dc:language>en-US</dc:language>
  <cp:lastModifiedBy/>
  <dcterms:modified xsi:type="dcterms:W3CDTF">2026-08-23T15:46:05Z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